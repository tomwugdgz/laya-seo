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Semantic judgments" sheetId="4" state="visible" r:id="rId4"/>
    <sheet xmlns:r="http://schemas.openxmlformats.org/officeDocument/2006/relationships" name="Technical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Method" sheetId="8" state="visible" r:id="rId8"/>
  </sheets>
  <definedNames>
    <definedName name="_xlnm._FilterDatabase" localSheetId="1" hidden="1">'Actions'!$A$1:$T$31</definedName>
    <definedName name="_xlnm._FilterDatabase" localSheetId="2" hidden="1">'Pages'!$A$1:$AF$8</definedName>
    <definedName name="_xlnm._FilterDatabase" localSheetId="3" hidden="1">'Semantic judgments'!$A$1:$I$65</definedName>
    <definedName name="_xlnm._FilterDatabase" localSheetId="4" hidden="1">'Technical'!$A$1:$B$25</definedName>
    <definedName name="_xlnm._FilterDatabase" localSheetId="7" hidden="1">'Method'!$A$1:$B$10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00"/>
    <numFmt numFmtId="165" formatCode="yyyy-mm-dd"/>
  </numFmts>
  <fonts count="9">
    <font>
      <name val="Calibri"/>
      <family val="2"/>
      <color theme="1"/>
      <sz val="11"/>
      <scheme val="minor"/>
    </font>
    <font>
      <name val="Inter Display"/>
      <b val="1"/>
      <sz val="20"/>
    </font>
    <font>
      <name val="Inter"/>
      <color rgb="0052514E"/>
      <sz val="10"/>
    </font>
    <font>
      <name val="Inter"/>
      <b val="1"/>
    </font>
    <font>
      <name val="Inter Display"/>
      <b val="1"/>
      <color rgb="00A83A8C"/>
      <sz val="14"/>
    </font>
    <font>
      <name val="Inter"/>
      <b val="1"/>
      <color rgb="00FFFFFF"/>
      <sz val="10"/>
    </font>
    <font>
      <name val="Inter"/>
      <sz val="10"/>
    </font>
    <font>
      <name val="Inter"/>
      <b val="1"/>
      <sz val="12"/>
    </font>
    <font>
      <name val="Inter"/>
      <color rgb="00A83A8C"/>
      <sz val="10"/>
      <u val="single"/>
    </font>
  </fonts>
  <fills count="4">
    <fill>
      <patternFill/>
    </fill>
    <fill>
      <patternFill patternType="gray125"/>
    </fill>
    <fill>
      <patternFill patternType="solid">
        <fgColor rgb="000B0B0B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bottom style="thin">
        <color rgb="00E1E0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2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FF3DF"/>
        </patternFill>
      </fill>
    </dxf>
    <dxf>
      <fill>
        <patternFill patternType="solid">
          <fgColor rgb="00FDF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各区域得分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'Summary'!B9</f>
            </strRef>
          </tx>
          <spPr>
            <a:solidFill xmlns:a="http://schemas.openxmlformats.org/drawingml/2006/main">
              <a:srgbClr val="D45BB6"/>
            </a:solidFill>
            <a:ln xmlns:a="http://schemas.openxmlformats.org/drawingml/2006/main">
              <a:prstDash val="solid"/>
            </a:ln>
          </spPr>
          <cat>
            <numRef>
              <f>'Summary'!$A$10:$A$18</f>
            </numRef>
          </cat>
          <val>
            <numRef>
              <f>'Summary'!$B$10:$B$18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行动项状态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'Summary'!$A$21:$A$25</f>
            </numRef>
          </cat>
          <val>
            <numRef>
              <f>'Summary'!$B$21:$B$25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</row>
      <rowOff>0</rowOff>
    </from>
    <ext cx="142875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905500" cy="3009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5905500" cy="3171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905500" cy="1876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5905500" cy="461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5905500" cy="3829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5905500" cy="33623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5905500" cy="1952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5905500" cy="3857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5905500" cy="3667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5905500" cy="3124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evelopers.google.com/search/docs/fundamentals/creating-helpful-content" TargetMode="External" Id="rId1"/><Relationship Type="http://schemas.openxmlformats.org/officeDocument/2006/relationships/hyperlink" Target="https://developers.google.com/search/docs/crawling-indexing/mobile/mobile-sites-mobile-first-indexing" TargetMode="External" Id="rId2"/><Relationship Type="http://schemas.openxmlformats.org/officeDocument/2006/relationships/hyperlink" Target="https://developers.google.com/crawling/docs/troubleshooting/http-status-codes" TargetMode="External" Id="rId3"/><Relationship Type="http://schemas.openxmlformats.org/officeDocument/2006/relationships/hyperlink" Target="https://developers.google.com/search/docs/crawling-indexing/consolidate-duplicate-urls" TargetMode="External" Id="rId4"/><Relationship Type="http://schemas.openxmlformats.org/officeDocument/2006/relationships/hyperlink" Target="https://developers.google.com/search/docs/appearance/structured-data/intro-structured-data" TargetMode="External" Id="rId5"/><Relationship Type="http://schemas.openxmlformats.org/officeDocument/2006/relationships/hyperlink" Target="https://web.dev/articles/ttfb" TargetMode="External" Id="rId6"/><Relationship Type="http://schemas.openxmlformats.org/officeDocument/2006/relationships/hyperlink" Target="https://developers.google.com/search/docs/fundamentals/creating-helpful-content" TargetMode="External" Id="rId7"/><Relationship Type="http://schemas.openxmlformats.org/officeDocument/2006/relationships/hyperlink" Target="https://developers.google.com/search/docs/appearance/snippet" TargetMode="External" Id="rId8"/><Relationship Type="http://schemas.openxmlformats.org/officeDocument/2006/relationships/hyperlink" Target="https://developers.google.com/search/docs/fundamentals/creating-helpful-content" TargetMode="External" Id="rId9"/><Relationship Type="http://schemas.openxmlformats.org/officeDocument/2006/relationships/hyperlink" Target="https://developers.google.com/search/docs/fundamentals/creating-helpful-content" TargetMode="External" Id="rId10"/><Relationship Type="http://schemas.openxmlformats.org/officeDocument/2006/relationships/hyperlink" Target="https://developers.google.com/search/docs/fundamentals/seo-starter-guide" TargetMode="External" Id="rId11"/><Relationship Type="http://schemas.openxmlformats.org/officeDocument/2006/relationships/hyperlink" Target="https://developers.google.com/search/docs/crawling-indexing/consolidate-duplicate-urls" TargetMode="External" Id="rId12"/><Relationship Type="http://schemas.openxmlformats.org/officeDocument/2006/relationships/hyperlink" Target="https://developers.google.com/search/docs/crawling-indexing/sitemaps/overview" TargetMode="External" Id="rId13"/><Relationship Type="http://schemas.openxmlformats.org/officeDocument/2006/relationships/hyperlink" Target="https://developers.google.com/search/docs/appearance/title-link" TargetMode="External" Id="rId14"/><Relationship Type="http://schemas.openxmlformats.org/officeDocument/2006/relationships/hyperlink" Target="https://developers.google.com/search/docs/appearance/ai-features" TargetMode="External" Id="rId15"/><Relationship Type="http://schemas.openxmlformats.org/officeDocument/2006/relationships/hyperlink" Target="https://developer.mozilla.org/en-US/docs/Web/HTTP/Reference/Headers/Strict-Transport-Security" TargetMode="External" Id="rId16"/><Relationship Type="http://schemas.openxmlformats.org/officeDocument/2006/relationships/hyperlink" Target="https://owasp.org/projects/secure-headers-project" TargetMode="External" Id="rId17"/><Relationship Type="http://schemas.openxmlformats.org/officeDocument/2006/relationships/hyperlink" Target="https://developers.google.com/search/docs/fundamentals/seo-starter-guide" TargetMode="External" Id="rId18"/><Relationship Type="http://schemas.openxmlformats.org/officeDocument/2006/relationships/hyperlink" Target="https://developers.google.com/search/docs/crawling-indexing/sitemaps/overview" TargetMode="External" Id="rId19"/><Relationship Type="http://schemas.openxmlformats.org/officeDocument/2006/relationships/hyperlink" Target="https://developers.google.com/search/docs/crawling-indexing/consolidate-duplicate-urls" TargetMode="External" Id="rId20"/><Relationship Type="http://schemas.openxmlformats.org/officeDocument/2006/relationships/hyperlink" Target="https://ogp.me/" TargetMode="External" Id="rId21"/><Relationship Type="http://schemas.openxmlformats.org/officeDocument/2006/relationships/hyperlink" Target="https://developers.google.com/search/docs/fundamentals/seo-starter-guide" TargetMode="External" Id="rId22"/><Relationship Type="http://schemas.openxmlformats.org/officeDocument/2006/relationships/hyperlink" Target="https://developers.google.com/search/docs/crawling-indexing/301-redirects" TargetMode="External" Id="rId23"/><Relationship Type="http://schemas.openxmlformats.org/officeDocument/2006/relationships/hyperlink" Target="https://developers.google.com/search/docs/appearance/structured-data/intro-structured-data" TargetMode="External" Id="rId24"/><Relationship Type="http://schemas.openxmlformats.org/officeDocument/2006/relationships/hyperlink" Target="https://developer.mozilla.org/en-US/docs/Web/HTML/Reference/Global_attributes/lang" TargetMode="External" Id="rId25"/><Relationship Type="http://schemas.openxmlformats.org/officeDocument/2006/relationships/hyperlink" Target="https://web.dev/articles/optimize-cls" TargetMode="External" Id="rId26"/><Relationship Type="http://schemas.openxmlformats.org/officeDocument/2006/relationships/hyperlink" Target="https://developers.google.com/crawling/docs/troubleshooting/http-status-codes" TargetMode="External" Id="rId27"/><Relationship Type="http://schemas.openxmlformats.org/officeDocument/2006/relationships/hyperlink" Target="https://developers.google.com/search/docs/appearance/snippet" TargetMode="External" Id="rId28"/><Relationship Type="http://schemas.openxmlformats.org/officeDocument/2006/relationships/hyperlink" Target="https://developers.google.com/search/docs/appearance/ai-features" TargetMode="External" Id="rId29"/><Relationship Type="http://schemas.openxmlformats.org/officeDocument/2006/relationships/hyperlink" Target="https://developers.google.com/search/docs/appearance/title-link" TargetMode="External" Id="rId30"/></Relationships>
</file>

<file path=xl/worksheets/_rels/sheet3.xml.rels><Relationships xmlns="http://schemas.openxmlformats.org/package/2006/relationships"><Relationship Type="http://schemas.openxmlformats.org/officeDocument/2006/relationships/hyperlink" Target="https://duckwolf.cn/" TargetMode="External" Id="rId1"/><Relationship Type="http://schemas.openxmlformats.org/officeDocument/2006/relationships/hyperlink" Target="https://duckwolf.cn/aiadplacer.html" TargetMode="External" Id="rId2"/><Relationship Type="http://schemas.openxmlformats.org/officeDocument/2006/relationships/hyperlink" Target="https://duckwolf.cn/brandcn.html" TargetMode="External" Id="rId3"/><Relationship Type="http://schemas.openxmlformats.org/officeDocument/2006/relationships/hyperlink" Target="https://duckwolf.cn/claw.html" TargetMode="External" Id="rId4"/><Relationship Type="http://schemas.openxmlformats.org/officeDocument/2006/relationships/hyperlink" Target="https://duckwolf.cn/pdooh.html" TargetMode="External" Id="rId5"/><Relationship Type="http://schemas.openxmlformats.org/officeDocument/2006/relationships/hyperlink" Target="https://duckwolf.cn/q.html" TargetMode="External" Id="rId6"/><Relationship Type="http://schemas.openxmlformats.org/officeDocument/2006/relationships/hyperlink" Target="https://duckwolf.cn/wifi.html" TargetMode="External" Id="rId7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D45BB6"/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52" customWidth="1" min="4" max="4"/>
  </cols>
  <sheetData>
    <row r="1">
      <c r="A1" s="1" t="inlineStr">
        <is>
          <t>Laya SEO 审计报告: duckwolf.cn</t>
        </is>
      </c>
    </row>
    <row r="2">
      <c r="A2" s="2" t="inlineStr">
        <is>
          <t>审计时间 2026-10-04T16:08:23+00:00 · 13 已抓取 URL · 7 HTML 页面 · 引擎分工 0 Laya / 5 Jev</t>
        </is>
      </c>
    </row>
    <row r="4">
      <c r="A4" s="3" t="inlineStr">
        <is>
          <t>总分</t>
        </is>
      </c>
      <c r="B4" s="4" t="n">
        <v>78</v>
      </c>
    </row>
    <row r="5">
      <c r="A5" s="3" t="inlineStr">
        <is>
          <t>等级</t>
        </is>
      </c>
      <c r="B5" s="4" t="inlineStr">
        <is>
          <t>B（部分审计）</t>
        </is>
      </c>
    </row>
    <row r="6">
      <c r="A6" s="3" t="inlineStr">
        <is>
          <t>语义引擎费用（美元）</t>
        </is>
      </c>
      <c r="B6" s="5" t="n">
        <v>0.005397</v>
      </c>
    </row>
    <row r="7">
      <c r="A7" s="3" t="inlineStr">
        <is>
          <t>DataForSEO 费用（美元）</t>
        </is>
      </c>
      <c r="B7" s="4" t="inlineStr">
        <is>
          <t>未使用</t>
        </is>
      </c>
    </row>
    <row r="9">
      <c r="A9" s="6" t="inlineStr">
        <is>
          <t>区域</t>
        </is>
      </c>
      <c r="B9" s="6" t="inlineStr">
        <is>
          <t>得分</t>
        </is>
      </c>
      <c r="C9" s="6" t="inlineStr">
        <is>
          <t>权重</t>
        </is>
      </c>
      <c r="D9" s="6" t="inlineStr">
        <is>
          <t>评分方式</t>
        </is>
      </c>
    </row>
    <row r="10">
      <c r="A10" s="7" t="inlineStr">
        <is>
          <t>抓取与索引</t>
        </is>
      </c>
      <c r="B10" s="7" t="n">
        <v>81</v>
      </c>
      <c r="C10" s="7" t="n">
        <v>20</v>
      </c>
      <c r="D10" s="7" t="inlineStr">
        <is>
          <t>仅规则</t>
        </is>
      </c>
    </row>
    <row r="11">
      <c r="A11" s="7" t="inlineStr">
        <is>
          <t>页面内优化</t>
        </is>
      </c>
      <c r="B11" s="7" t="n">
        <v>76</v>
      </c>
      <c r="C11" s="7" t="n">
        <v>15</v>
      </c>
      <c r="D11" s="7" t="inlineStr">
        <is>
          <t>规则 + 引擎判断</t>
        </is>
      </c>
    </row>
    <row r="12">
      <c r="A12" s="7" t="inlineStr">
        <is>
          <t>内容质量</t>
        </is>
      </c>
      <c r="B12" s="7" t="n">
        <v>57</v>
      </c>
      <c r="C12" s="7" t="n">
        <v>20</v>
      </c>
      <c r="D12" s="7" t="inlineStr">
        <is>
          <t>70% 语义判断（有用性、具体性、可信度），30% 规则</t>
        </is>
      </c>
    </row>
    <row r="13">
      <c r="A13" s="7" t="inlineStr">
        <is>
          <t>链接与结构</t>
        </is>
      </c>
      <c r="B13" s="7" t="n">
        <v>91</v>
      </c>
      <c r="C13" s="7" t="n">
        <v>10</v>
      </c>
      <c r="D13" s="7" t="inlineStr">
        <is>
          <t>仅规则</t>
        </is>
      </c>
    </row>
    <row r="14">
      <c r="A14" s="7" t="inlineStr">
        <is>
          <t>结构化数据与分享</t>
        </is>
      </c>
      <c r="B14" s="7" t="n">
        <v>91</v>
      </c>
      <c r="C14" s="7" t="n">
        <v>8</v>
      </c>
      <c r="D14" s="7" t="inlineStr">
        <is>
          <t>仅规则</t>
        </is>
      </c>
    </row>
    <row r="15">
      <c r="A15" s="7" t="inlineStr">
        <is>
          <t>AI 搜索就绪度</t>
        </is>
      </c>
      <c r="B15" s="7" t="n">
        <v>71</v>
      </c>
      <c r="C15" s="7" t="n">
        <v>12</v>
      </c>
      <c r="D15" s="7" t="inlineStr">
        <is>
          <t>70% 语义判断（可引用性、开头给结论、主体清晰度），30% 规则；属编辑经验，Google 明确表示其 AI 功能无需特殊优化</t>
        </is>
      </c>
    </row>
    <row r="16">
      <c r="A16" s="7" t="inlineStr">
        <is>
          <t>性能</t>
        </is>
      </c>
      <c r="B16" s="7" t="n">
        <v>93</v>
      </c>
      <c r="C16" s="7" t="n">
        <v>10</v>
      </c>
      <c r="D16" s="7" t="inlineStr">
        <is>
          <t>50% Lighthouse 移动端 + 50% 抓取观测</t>
        </is>
      </c>
    </row>
    <row r="17">
      <c r="A17" s="7" t="inlineStr">
        <is>
          <t>安全与信任</t>
        </is>
      </c>
      <c r="B17" s="7" t="n">
        <v>94</v>
      </c>
      <c r="C17" s="7" t="n">
        <v>5</v>
      </c>
      <c r="D17" s="7" t="inlineStr">
        <is>
          <t>仅规则</t>
        </is>
      </c>
    </row>
    <row r="18">
      <c r="A18" s="7" t="inlineStr">
        <is>
          <t>搜索可见性与权威度</t>
        </is>
      </c>
      <c r="B18" s="7" t="n"/>
      <c r="C18" s="7" t="n">
        <v>15</v>
      </c>
      <c r="D18" s="7" t="inlineStr">
        <is>
          <t>未评估：加 --full 启用 DataForSEO</t>
        </is>
      </c>
    </row>
    <row r="20">
      <c r="A20" s="8" t="inlineStr">
        <is>
          <t>各状态的实时数量（取自行动项工作表）</t>
        </is>
      </c>
    </row>
    <row r="21">
      <c r="A21" s="7" t="inlineStr">
        <is>
          <t>待办</t>
        </is>
      </c>
      <c r="B21" s="7">
        <f>COUNTIF(Actions!$E:$E,"to_do")</f>
        <v/>
      </c>
    </row>
    <row r="22">
      <c r="A22" s="7" t="inlineStr">
        <is>
          <t>进行中</t>
        </is>
      </c>
      <c r="B22" s="7">
        <f>COUNTIF(Actions!$E:$E,"in_progress")</f>
        <v/>
      </c>
    </row>
    <row r="23">
      <c r="A23" s="7" t="inlineStr">
        <is>
          <t>已完成</t>
        </is>
      </c>
      <c r="B23" s="7">
        <f>COUNTIF(Actions!$E:$E,"done")</f>
        <v/>
      </c>
    </row>
    <row r="24">
      <c r="A24" s="7" t="inlineStr">
        <is>
          <t>延后</t>
        </is>
      </c>
      <c r="B24" s="7">
        <f>COUNTIF(Actions!$E:$E,"deferred")</f>
        <v/>
      </c>
    </row>
    <row r="25">
      <c r="A25" s="7" t="inlineStr">
        <is>
          <t>不适用</t>
        </is>
      </c>
      <c r="B25" s="7">
        <f>COUNTIF(Actions!$E:$E,"not_applicable")</f>
        <v/>
      </c>
    </row>
    <row r="27">
      <c r="A27" s="8" t="inlineStr">
        <is>
          <t>按优先级统计的未完成项</t>
        </is>
      </c>
    </row>
    <row r="28">
      <c r="A28" s="7" t="inlineStr">
        <is>
          <t>P1</t>
        </is>
      </c>
      <c r="B28" s="7">
        <f>COUNTIFS(Actions!$C:$C,"P1",Actions!$E:$E,"&lt;&gt;done",Actions!$E:$E,"&lt;&gt;not_applicable")</f>
        <v/>
      </c>
    </row>
    <row r="29">
      <c r="A29" s="7" t="inlineStr">
        <is>
          <t>P2</t>
        </is>
      </c>
      <c r="B29" s="7">
        <f>COUNTIFS(Actions!$C:$C,"P2",Actions!$E:$E,"&lt;&gt;done",Actions!$E:$E,"&lt;&gt;not_applicable")</f>
        <v/>
      </c>
    </row>
    <row r="30">
      <c r="A30" s="7" t="inlineStr">
        <is>
          <t>P3</t>
        </is>
      </c>
      <c r="B30" s="7">
        <f>COUNTIFS(Actions!$C:$C,"P3",Actions!$E:$E,"&lt;&gt;done",Actions!$E:$E,"&lt;&gt;not_applicable")</f>
        <v/>
      </c>
    </row>
    <row r="31">
      <c r="A31" s="3" t="inlineStr">
        <is>
          <t>行动项总数</t>
        </is>
      </c>
      <c r="B31" s="3">
        <f>COUNTA(Actions!$A:$A)-1</f>
        <v/>
      </c>
    </row>
  </sheetData>
  <conditionalFormatting sqref="B10:B18">
    <cfRule type="colorScale" priority="1">
      <colorScale>
        <cfvo type="num" val="0"/>
        <cfvo type="num" val="100"/>
        <color rgb="00FBEAF5"/>
        <color rgb="00A83A8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45BB6"/>
    <outlinePr summaryBelow="1" summaryRight="1"/>
    <pageSetUpPr/>
  </sheetPr>
  <dimension ref="A1:T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9" customWidth="1" min="3" max="3"/>
    <col width="10" customWidth="1" min="4" max="4"/>
    <col width="13" customWidth="1" min="5" max="5"/>
    <col width="16" customWidth="1" min="6" max="6"/>
    <col width="12" customWidth="1" min="7" max="7"/>
    <col width="28" customWidth="1" min="8" max="8"/>
    <col width="8" customWidth="1" min="9" max="9"/>
    <col width="12" customWidth="1" min="10" max="10"/>
    <col width="9" customWidth="1" min="11" max="11"/>
    <col width="20" customWidth="1" min="12" max="12"/>
    <col width="9" customWidth="1" min="13" max="13"/>
    <col width="7" customWidth="1" min="14" max="14"/>
    <col width="46" customWidth="1" min="15" max="15"/>
    <col width="52" customWidth="1" min="16" max="16"/>
    <col width="10" customWidth="1" min="17" max="17"/>
    <col width="9" customWidth="1" min="18" max="18"/>
    <col width="36" customWidth="1" min="19" max="19"/>
    <col width="60" customWidth="1" min="20" max="20"/>
  </cols>
  <sheetData>
    <row r="1" ht="30" customHeight="1">
      <c r="A1" s="9" t="inlineStr">
        <is>
          <t>编号</t>
        </is>
      </c>
      <c r="B1" s="9" t="inlineStr">
        <is>
          <t>行动项</t>
        </is>
      </c>
      <c r="C1" s="9" t="inlineStr">
        <is>
          <t>优先级</t>
        </is>
      </c>
      <c r="D1" s="9" t="inlineStr">
        <is>
          <t>严重度</t>
        </is>
      </c>
      <c r="E1" s="9" t="inlineStr">
        <is>
          <t>状态</t>
        </is>
      </c>
      <c r="F1" s="9" t="inlineStr">
        <is>
          <t>负责人</t>
        </is>
      </c>
      <c r="G1" s="9" t="inlineStr">
        <is>
          <t>截止</t>
        </is>
      </c>
      <c r="H1" s="9" t="inlineStr">
        <is>
          <t>备注</t>
        </is>
      </c>
      <c r="I1" s="9" t="inlineStr">
        <is>
          <t>影响</t>
        </is>
      </c>
      <c r="J1" s="9" t="inlineStr">
        <is>
          <t>成本</t>
        </is>
      </c>
      <c r="K1" s="9" t="inlineStr">
        <is>
          <t>快速见效</t>
        </is>
      </c>
      <c r="L1" s="9" t="inlineStr">
        <is>
          <t>区域</t>
        </is>
      </c>
      <c r="M1" s="9" t="inlineStr">
        <is>
          <t>判定方</t>
        </is>
      </c>
      <c r="N1" s="9" t="inlineStr">
        <is>
          <t>Pages</t>
        </is>
      </c>
      <c r="O1" s="9" t="inlineStr">
        <is>
          <t>证据</t>
        </is>
      </c>
      <c r="P1" s="9" t="inlineStr">
        <is>
          <t>修法</t>
        </is>
      </c>
      <c r="Q1" s="9" t="inlineStr">
        <is>
          <t>需人工核对</t>
        </is>
      </c>
      <c r="R1" s="9" t="inlineStr">
        <is>
          <t>编辑经验（非搜索引擎规则）</t>
        </is>
      </c>
      <c r="S1" s="9" t="inlineStr">
        <is>
          <t>依据</t>
        </is>
      </c>
      <c r="T1" s="9" t="inlineStr">
        <is>
          <t>涉及 URL</t>
        </is>
      </c>
    </row>
    <row r="2">
      <c r="A2" s="10" t="inlineStr">
        <is>
          <t>JEV-001</t>
        </is>
      </c>
      <c r="B2" s="10" t="inlineStr">
        <is>
          <t>首页没有清楚说明所提供的产品</t>
        </is>
      </c>
      <c r="C2" s="10" t="inlineStr">
        <is>
          <t>P1</t>
        </is>
      </c>
      <c r="D2" s="10" t="inlineStr">
        <is>
          <t>高</t>
        </is>
      </c>
      <c r="E2" s="11" t="inlineStr">
        <is>
          <t>to_do</t>
        </is>
      </c>
      <c r="F2" s="11" t="n"/>
      <c r="G2" s="12" t="n"/>
      <c r="H2" s="11" t="n"/>
      <c r="I2" s="10" t="n">
        <v>100</v>
      </c>
      <c r="J2" s="10" t="inlineStr">
        <is>
          <t>小</t>
        </is>
      </c>
      <c r="K2" s="10" t="inlineStr"/>
      <c r="L2" s="10" t="inlineStr">
        <is>
          <t>内容质量</t>
        </is>
      </c>
      <c r="M2" s="10" t="inlineStr">
        <is>
          <t>引擎判定</t>
        </is>
      </c>
      <c r="N2" s="10" t="n">
        <v>1</v>
      </c>
      <c r="O2" s="10" t="inlineStr">
        <is>
          <t>Jev value proposition 0.36 (confidence 0.91)</t>
        </is>
      </c>
      <c r="P2" s="10" t="inlineStr">
        <is>
          <t>在首页首屏写清楚：你提供什么、面向谁、为什么选你。</t>
        </is>
      </c>
      <c r="Q2" s="10" t="inlineStr"/>
      <c r="R2" s="10" t="inlineStr"/>
      <c r="S2" s="13" t="inlineStr">
        <is>
          <t>https://developers.google.com/search/docs/fundamentals/creating-helpful-content</t>
        </is>
      </c>
      <c r="T2" s="10" t="inlineStr">
        <is>
          <t>https://duckwolf.cn/</t>
        </is>
      </c>
    </row>
    <row r="3">
      <c r="A3" s="10" t="inlineStr">
        <is>
          <t>JEV-002</t>
        </is>
      </c>
      <c r="B3" s="10" t="inlineStr">
        <is>
          <t>没有移动端 viewport meta 标签</t>
        </is>
      </c>
      <c r="C3" s="10" t="inlineStr">
        <is>
          <t>P1</t>
        </is>
      </c>
      <c r="D3" s="10" t="inlineStr">
        <is>
          <t>高</t>
        </is>
      </c>
      <c r="E3" s="11" t="inlineStr">
        <is>
          <t>to_do</t>
        </is>
      </c>
      <c r="F3" s="11" t="n"/>
      <c r="G3" s="12" t="n"/>
      <c r="H3" s="11" t="n"/>
      <c r="I3" s="10" t="n">
        <v>66</v>
      </c>
      <c r="J3" s="10" t="inlineStr">
        <is>
          <t>很小</t>
        </is>
      </c>
      <c r="K3" s="10" t="inlineStr">
        <is>
          <t>yes</t>
        </is>
      </c>
      <c r="L3" s="10" t="inlineStr">
        <is>
          <t>页面内优化</t>
        </is>
      </c>
      <c r="M3" s="10" t="inlineStr">
        <is>
          <t>规则检查</t>
        </is>
      </c>
      <c r="N3" s="10" t="n">
        <v>1</v>
      </c>
      <c r="O3" s="10" t="inlineStr">
        <is>
          <t>1 page</t>
        </is>
      </c>
      <c r="P3" s="10" t="inlineStr">
        <is>
          <t>添加 &amp;lt;meta name=viewport content="width=device-width, initial-scale=1.0"&amp;gt;。这是移动端排版正常的前提，也是移动优先索引的基线要求。</t>
        </is>
      </c>
      <c r="Q3" s="10" t="inlineStr"/>
      <c r="R3" s="10" t="inlineStr"/>
      <c r="S3" s="13" t="inlineStr">
        <is>
          <t>https://developers.google.com/search/docs/crawling-indexing/mobile/mobile-sites-mobile-first-indexing</t>
        </is>
      </c>
      <c r="T3" s="10" t="inlineStr">
        <is>
          <t>https://duckwolf.cn/</t>
        </is>
      </c>
    </row>
    <row r="4">
      <c r="A4" s="10" t="inlineStr">
        <is>
          <t>JEV-003</t>
        </is>
      </c>
      <c r="B4" s="10" t="inlineStr">
        <is>
          <t>内部链接指向无法访问的地址</t>
        </is>
      </c>
      <c r="C4" s="10" t="inlineStr">
        <is>
          <t>P1</t>
        </is>
      </c>
      <c r="D4" s="10" t="inlineStr">
        <is>
          <t>高</t>
        </is>
      </c>
      <c r="E4" s="11" t="inlineStr">
        <is>
          <t>to_do</t>
        </is>
      </c>
      <c r="F4" s="11" t="n"/>
      <c r="G4" s="12" t="n"/>
      <c r="H4" s="11" t="n"/>
      <c r="I4" s="10" t="n">
        <v>66</v>
      </c>
      <c r="J4" s="10" t="inlineStr">
        <is>
          <t>小</t>
        </is>
      </c>
      <c r="K4" s="10" t="inlineStr"/>
      <c r="L4" s="10" t="inlineStr">
        <is>
          <t>链接与结构</t>
        </is>
      </c>
      <c r="M4" s="10" t="inlineStr">
        <is>
          <t>规则检查</t>
        </is>
      </c>
      <c r="N4" s="10" t="n">
        <v>1</v>
      </c>
      <c r="O4" s="10" t="inlineStr">
        <is>
          <t>1 broken targets: 403 https://duckwolf.cn/forum.php?mobile=yes (linked from /)</t>
        </is>
      </c>
      <c r="P4" s="10" t="inlineStr">
        <is>
          <t>修正或移除这些链接，并更新指向它们的页面。注意：跳转目标是正常设计，需确认为误报还是真死链。</t>
        </is>
      </c>
      <c r="Q4" s="10" t="inlineStr"/>
      <c r="R4" s="10" t="inlineStr"/>
      <c r="S4" s="13" t="inlineStr">
        <is>
          <t>https://developers.google.com/crawling/docs/troubleshooting/http-status-codes</t>
        </is>
      </c>
      <c r="T4" s="10" t="inlineStr">
        <is>
          <t>https://duckwolf.cn/</t>
        </is>
      </c>
    </row>
    <row r="5">
      <c r="A5" s="10" t="inlineStr">
        <is>
          <t>JEV-004</t>
        </is>
      </c>
      <c r="B5" s="10" t="inlineStr">
        <is>
          <t>canonical 目标发生跳转或返回错误</t>
        </is>
      </c>
      <c r="C5" s="10" t="inlineStr">
        <is>
          <t>P1</t>
        </is>
      </c>
      <c r="D5" s="10" t="inlineStr">
        <is>
          <t>高</t>
        </is>
      </c>
      <c r="E5" s="11" t="inlineStr">
        <is>
          <t>to_do</t>
        </is>
      </c>
      <c r="F5" s="11" t="n"/>
      <c r="G5" s="12" t="n"/>
      <c r="H5" s="11" t="n"/>
      <c r="I5" s="10" t="n">
        <v>64</v>
      </c>
      <c r="J5" s="10" t="inlineStr">
        <is>
          <t>很小</t>
        </is>
      </c>
      <c r="K5" s="10" t="inlineStr">
        <is>
          <t>yes</t>
        </is>
      </c>
      <c r="L5" s="10" t="inlineStr">
        <is>
          <t>抓取与索引</t>
        </is>
      </c>
      <c r="M5" s="10" t="inlineStr">
        <is>
          <t>规则检查</t>
        </is>
      </c>
      <c r="N5" s="10" t="n">
        <v>2</v>
      </c>
      <c r="O5" s="10" t="inlineStr">
        <is>
          <t>http://duckwolf.cn/aiadplacer.html; http://duckwolf.cn/brandcn.html</t>
        </is>
      </c>
      <c r="P5" s="10" t="inlineStr">
        <is>
          <t>把 canonical 改为最终可访问的规范地址。注意：若站点用 http 的 canonical 而实际服务是 https，canonical 自身会跳转，等于告诉搜索引擎「规范版本不存在」。</t>
        </is>
      </c>
      <c r="Q5" s="10" t="inlineStr"/>
      <c r="R5" s="10" t="inlineStr"/>
      <c r="S5" s="13" t="inlineStr">
        <is>
          <t>https://developers.google.com/search/docs/crawling-indexing/consolidate-duplicate-urls</t>
        </is>
      </c>
      <c r="T5" s="10" t="inlineStr">
        <is>
          <t>https://duckwolf.cn/aiadplacer.html
https://duckwolf.cn/brandcn.html</t>
        </is>
      </c>
    </row>
    <row r="6">
      <c r="A6" s="10" t="inlineStr">
        <is>
          <t>JEV-005</t>
        </is>
      </c>
      <c r="B6" s="10" t="inlineStr">
        <is>
          <t>本地业务但缺少 LocalBusiness 结构化数据</t>
        </is>
      </c>
      <c r="C6" s="10" t="inlineStr">
        <is>
          <t>P2</t>
        </is>
      </c>
      <c r="D6" s="10" t="inlineStr">
        <is>
          <t>中</t>
        </is>
      </c>
      <c r="E6" s="11" t="inlineStr">
        <is>
          <t>to_do</t>
        </is>
      </c>
      <c r="F6" s="11" t="n"/>
      <c r="G6" s="12" t="n"/>
      <c r="H6" s="11" t="n"/>
      <c r="I6" s="10" t="n">
        <v>50</v>
      </c>
      <c r="J6" s="10" t="inlineStr">
        <is>
          <t>小</t>
        </is>
      </c>
      <c r="K6" s="10" t="inlineStr"/>
      <c r="L6" s="10" t="inlineStr">
        <is>
          <t>结构化数据与分享</t>
        </is>
      </c>
      <c r="M6" s="10" t="inlineStr">
        <is>
          <t>引擎判定</t>
        </is>
      </c>
      <c r="N6" s="10" t="n">
        <v>1</v>
      </c>
      <c r="O6" s="10" t="inlineStr">
        <is>
          <t>Serves a local area P(yes) 0.56; homepage schema: offer organization person postaladdress propertyvalue softwareapplication webpage website</t>
        </is>
      </c>
      <c r="P6" s="10" t="inlineStr">
        <is>
          <t>添加与页面一致的 LocalBusiness JSON-LD，含名称、地址、电话与营业时间。</t>
        </is>
      </c>
      <c r="Q6" s="10" t="n">
        <v>1</v>
      </c>
      <c r="R6" s="10" t="inlineStr"/>
      <c r="S6" s="13" t="inlineStr">
        <is>
          <t>https://developers.google.com/search/docs/appearance/structured-data/intro-structured-data</t>
        </is>
      </c>
      <c r="T6" s="10" t="inlineStr">
        <is>
          <t>https://duckwolf.cn/</t>
        </is>
      </c>
    </row>
    <row r="7">
      <c r="A7" s="10" t="inlineStr">
        <is>
          <t>JEV-006</t>
        </is>
      </c>
      <c r="B7" s="10" t="inlineStr">
        <is>
          <t>服务端响应偏慢（TTFB 超过 0.8 秒）</t>
        </is>
      </c>
      <c r="C7" s="10" t="inlineStr">
        <is>
          <t>P2</t>
        </is>
      </c>
      <c r="D7" s="10" t="inlineStr">
        <is>
          <t>中</t>
        </is>
      </c>
      <c r="E7" s="11" t="inlineStr">
        <is>
          <t>to_do</t>
        </is>
      </c>
      <c r="F7" s="11" t="n"/>
      <c r="G7" s="12" t="n"/>
      <c r="H7" s="11" t="n"/>
      <c r="I7" s="10" t="n">
        <v>47</v>
      </c>
      <c r="J7" s="10" t="inlineStr">
        <is>
          <t>中</t>
        </is>
      </c>
      <c r="K7" s="10" t="inlineStr"/>
      <c r="L7" s="10" t="inlineStr">
        <is>
          <t>性能</t>
        </is>
      </c>
      <c r="M7" s="10" t="inlineStr">
        <is>
          <t>规则检查</t>
        </is>
      </c>
      <c r="N7" s="10" t="n">
        <v>6</v>
      </c>
      <c r="O7" s="10" t="inlineStr">
        <is>
          <t>/: 2045 ms; /claw.html: 2758 ms; /pdooh.html: 2806 ms; /wifi.html: 1299 ms; /aiadplacer.html: 2584 ms; /brandcn.html: 1146 ms</t>
        </is>
      </c>
      <c r="P7" s="10" t="inlineStr">
        <is>
          <t>优化服务端响应时间：开启缓存、减少数据库查询、必要时加 CDN。Discuz 站点常见原因是 PHP 未启用 OPcache。</t>
        </is>
      </c>
      <c r="Q7" s="10" t="inlineStr"/>
      <c r="R7" s="10" t="inlineStr"/>
      <c r="S7" s="13" t="inlineStr">
        <is>
          <t>https://web.dev/articles/ttfb</t>
        </is>
      </c>
      <c r="T7" s="10" t="inlineStr">
        <is>
          <t>https://duckwolf.cn/
https://duckwolf.cn/claw.html
https://duckwolf.cn/pdooh.html
https://duckwolf.cn/wifi.html
https://duckwolf.cn/aiadplacer.html
https://duckwolf.cn/brandcn.html</t>
        </is>
      </c>
    </row>
    <row r="8">
      <c r="A8" s="10" t="inlineStr">
        <is>
          <t>JEV-007</t>
        </is>
      </c>
      <c r="B8" s="10" t="inlineStr">
        <is>
          <t>建议重写或合并的页面</t>
        </is>
      </c>
      <c r="C8" s="10" t="inlineStr">
        <is>
          <t>P2</t>
        </is>
      </c>
      <c r="D8" s="10" t="inlineStr">
        <is>
          <t>中</t>
        </is>
      </c>
      <c r="E8" s="11" t="inlineStr">
        <is>
          <t>to_do</t>
        </is>
      </c>
      <c r="F8" s="11" t="n"/>
      <c r="G8" s="12" t="n"/>
      <c r="H8" s="11" t="n"/>
      <c r="I8" s="10" t="n">
        <v>44</v>
      </c>
      <c r="J8" s="10" t="inlineStr">
        <is>
          <t>中</t>
        </is>
      </c>
      <c r="K8" s="10" t="inlineStr"/>
      <c r="L8" s="10" t="inlineStr">
        <is>
          <t>内容质量</t>
        </is>
      </c>
      <c r="M8" s="10" t="inlineStr">
        <is>
          <t>引擎判定</t>
        </is>
      </c>
      <c r="N8" s="10" t="n">
        <v>5</v>
      </c>
      <c r="O8" s="10" t="inlineStr">
        <is>
          <t>5 pages: / (rewrite); /q.html (merge or remove); /claw.html (merge or remove); /pdooh.html (rewrite); /wifi.html (rewrite)</t>
        </is>
      </c>
      <c r="P8" s="10" t="inlineStr">
        <is>
          <t>逐页对照建议动作处理。这是引擎的编辑判断，不是搜索引擎规则。</t>
        </is>
      </c>
      <c r="Q8" s="10" t="n">
        <v>3</v>
      </c>
      <c r="R8" s="10" t="inlineStr">
        <is>
          <t>yes</t>
        </is>
      </c>
      <c r="S8" s="13" t="inlineStr">
        <is>
          <t>https://developers.google.com/search/docs/fundamentals/creating-helpful-content</t>
        </is>
      </c>
      <c r="T8" s="10" t="inlineStr">
        <is>
          <t>https://duckwolf.cn/
https://duckwolf.cn/q.html
https://duckwolf.cn/claw.html
https://duckwolf.cn/pdooh.html
https://duckwolf.cn/wifi.html</t>
        </is>
      </c>
    </row>
    <row r="9">
      <c r="A9" s="10" t="inlineStr">
        <is>
          <t>JEV-008</t>
        </is>
      </c>
      <c r="B9" s="10" t="inlineStr">
        <is>
          <t>页面没有 meta description</t>
        </is>
      </c>
      <c r="C9" s="10" t="inlineStr">
        <is>
          <t>P2</t>
        </is>
      </c>
      <c r="D9" s="10" t="inlineStr">
        <is>
          <t>中</t>
        </is>
      </c>
      <c r="E9" s="11" t="inlineStr">
        <is>
          <t>to_do</t>
        </is>
      </c>
      <c r="F9" s="11" t="n"/>
      <c r="G9" s="12" t="n"/>
      <c r="H9" s="11" t="n"/>
      <c r="I9" s="10" t="n">
        <v>41</v>
      </c>
      <c r="J9" s="10" t="inlineStr">
        <is>
          <t>很小</t>
        </is>
      </c>
      <c r="K9" s="10" t="inlineStr">
        <is>
          <t>yes</t>
        </is>
      </c>
      <c r="L9" s="10" t="inlineStr">
        <is>
          <t>页面内优化</t>
        </is>
      </c>
      <c r="M9" s="10" t="inlineStr">
        <is>
          <t>规则检查</t>
        </is>
      </c>
      <c r="N9" s="10" t="n">
        <v>4</v>
      </c>
      <c r="O9" s="10" t="inlineStr">
        <is>
          <t>4 indexable pages</t>
        </is>
      </c>
      <c r="P9" s="10" t="inlineStr">
        <is>
          <t>为每个可索引页面写一段能准确概括内容的描述。</t>
        </is>
      </c>
      <c r="Q9" s="10" t="inlineStr"/>
      <c r="R9" s="10" t="inlineStr"/>
      <c r="S9" s="13" t="inlineStr">
        <is>
          <t>https://developers.google.com/search/docs/appearance/snippet</t>
        </is>
      </c>
      <c r="T9" s="10" t="inlineStr">
        <is>
          <t>https://duckwolf.cn/q.html
https://duckwolf.cn/claw.html
https://duckwolf.cn/pdooh.html
https://duckwolf.cn/wifi.html</t>
        </is>
      </c>
    </row>
    <row r="10">
      <c r="A10" s="10" t="inlineStr">
        <is>
          <t>JEV-009</t>
        </is>
      </c>
      <c r="B10" s="10" t="inlineStr">
        <is>
          <t>关键页面缺少专业度与可信度证据</t>
        </is>
      </c>
      <c r="C10" s="10" t="inlineStr">
        <is>
          <t>P2</t>
        </is>
      </c>
      <c r="D10" s="10" t="inlineStr">
        <is>
          <t>中</t>
        </is>
      </c>
      <c r="E10" s="11" t="inlineStr">
        <is>
          <t>to_do</t>
        </is>
      </c>
      <c r="F10" s="11" t="n"/>
      <c r="G10" s="12" t="n"/>
      <c r="H10" s="11" t="n"/>
      <c r="I10" s="10" t="n">
        <v>39</v>
      </c>
      <c r="J10" s="10" t="inlineStr">
        <is>
          <t>小</t>
        </is>
      </c>
      <c r="K10" s="10" t="inlineStr"/>
      <c r="L10" s="10" t="inlineStr">
        <is>
          <t>内容质量</t>
        </is>
      </c>
      <c r="M10" s="10" t="inlineStr">
        <is>
          <t>引擎判定</t>
        </is>
      </c>
      <c r="N10" s="10" t="n">
        <v>3</v>
      </c>
      <c r="O10" s="10" t="inlineStr">
        <is>
          <t>Jev trust averaged 0.39 (0 worst, 1 best) on 3 pages: /, /pdooh.html, /wifi.html</t>
        </is>
      </c>
      <c r="P10" s="10" t="inlineStr">
        <is>
          <t>在有助于读者理解处补充具名人员、资质、评价、来源、成果与联系方式。</t>
        </is>
      </c>
      <c r="Q10" s="10" t="n">
        <v>2</v>
      </c>
      <c r="R10" s="10" t="inlineStr"/>
      <c r="S10" s="13" t="inlineStr">
        <is>
          <t>https://developers.google.com/search/docs/fundamentals/creating-helpful-content</t>
        </is>
      </c>
      <c r="T10" s="10" t="inlineStr">
        <is>
          <t>https://duckwolf.cn/
https://duckwolf.cn/pdooh.html
https://duckwolf.cn/wifi.html</t>
        </is>
      </c>
    </row>
    <row r="11">
      <c r="A11" s="10" t="inlineStr">
        <is>
          <t>JEV-010</t>
        </is>
      </c>
      <c r="B11" s="10" t="inlineStr">
        <is>
          <t>页面正文内容过少</t>
        </is>
      </c>
      <c r="C11" s="10" t="inlineStr">
        <is>
          <t>P2</t>
        </is>
      </c>
      <c r="D11" s="10" t="inlineStr">
        <is>
          <t>中</t>
        </is>
      </c>
      <c r="E11" s="11" t="inlineStr">
        <is>
          <t>to_do</t>
        </is>
      </c>
      <c r="F11" s="11" t="n"/>
      <c r="G11" s="12" t="n"/>
      <c r="H11" s="11" t="n"/>
      <c r="I11" s="10" t="n">
        <v>38</v>
      </c>
      <c r="J11" s="10" t="inlineStr">
        <is>
          <t>中</t>
        </is>
      </c>
      <c r="K11" s="10" t="inlineStr"/>
      <c r="L11" s="10" t="inlineStr">
        <is>
          <t>内容质量</t>
        </is>
      </c>
      <c r="M11" s="10" t="inlineStr">
        <is>
          <t>规则检查</t>
        </is>
      </c>
      <c r="N11" s="10" t="n">
        <v>3</v>
      </c>
      <c r="O11" s="10" t="inlineStr">
        <is>
          <t>/q.html: 30 words; /claw.html: 19 words; /wifi.html: 134 words</t>
        </is>
      </c>
      <c r="P11" s="10" t="inlineStr">
        <is>
          <t>补充能回答用户问题的实质内容。若这是有意精简的落地页，考虑改用其他页面类型。</t>
        </is>
      </c>
      <c r="Q11" s="10" t="inlineStr"/>
      <c r="R11" s="10" t="inlineStr">
        <is>
          <t>yes</t>
        </is>
      </c>
      <c r="S11" s="13" t="inlineStr">
        <is>
          <t>https://developers.google.com/search/docs/fundamentals/creating-helpful-content</t>
        </is>
      </c>
      <c r="T11" s="10" t="inlineStr">
        <is>
          <t>https://duckwolf.cn/q.html
https://duckwolf.cn/claw.html
https://duckwolf.cn/wifi.html</t>
        </is>
      </c>
    </row>
    <row r="12">
      <c r="A12" s="10" t="inlineStr">
        <is>
          <t>JEV-011</t>
        </is>
      </c>
      <c r="B12" s="10" t="inlineStr">
        <is>
          <t>页面没有 H1 主标题</t>
        </is>
      </c>
      <c r="C12" s="10" t="inlineStr">
        <is>
          <t>P2</t>
        </is>
      </c>
      <c r="D12" s="10" t="inlineStr">
        <is>
          <t>中</t>
        </is>
      </c>
      <c r="E12" s="11" t="inlineStr">
        <is>
          <t>to_do</t>
        </is>
      </c>
      <c r="F12" s="11" t="n"/>
      <c r="G12" s="12" t="n"/>
      <c r="H12" s="11" t="n"/>
      <c r="I12" s="10" t="n">
        <v>36</v>
      </c>
      <c r="J12" s="10" t="inlineStr">
        <is>
          <t>很小</t>
        </is>
      </c>
      <c r="K12" s="10" t="inlineStr">
        <is>
          <t>yes</t>
        </is>
      </c>
      <c r="L12" s="10" t="inlineStr">
        <is>
          <t>页面内优化</t>
        </is>
      </c>
      <c r="M12" s="10" t="inlineStr">
        <is>
          <t>规则检查</t>
        </is>
      </c>
      <c r="N12" s="10" t="n">
        <v>2</v>
      </c>
      <c r="O12" s="10" t="inlineStr">
        <is>
          <t>2 indexable pages</t>
        </is>
      </c>
      <c r="P12" s="10" t="inlineStr">
        <is>
          <t>为每个页面加一个说明主题的 H1。</t>
        </is>
      </c>
      <c r="Q12" s="10" t="inlineStr"/>
      <c r="R12" s="10" t="inlineStr">
        <is>
          <t>yes</t>
        </is>
      </c>
      <c r="S12" s="13" t="inlineStr">
        <is>
          <t>https://developers.google.com/search/docs/fundamentals/seo-starter-guide</t>
        </is>
      </c>
      <c r="T12" s="10" t="inlineStr">
        <is>
          <t>https://duckwolf.cn/
https://duckwolf.cn/claw.html</t>
        </is>
      </c>
    </row>
    <row r="13">
      <c r="A13" s="10" t="inlineStr">
        <is>
          <t>JEV-012</t>
        </is>
      </c>
      <c r="B13" s="10" t="inlineStr">
        <is>
          <t>canonical 指向其他 URL</t>
        </is>
      </c>
      <c r="C13" s="10" t="inlineStr">
        <is>
          <t>P2</t>
        </is>
      </c>
      <c r="D13" s="10" t="inlineStr">
        <is>
          <t>中</t>
        </is>
      </c>
      <c r="E13" s="11" t="inlineStr">
        <is>
          <t>to_do</t>
        </is>
      </c>
      <c r="F13" s="11" t="n"/>
      <c r="G13" s="12" t="n"/>
      <c r="H13" s="11" t="n"/>
      <c r="I13" s="10" t="n">
        <v>32</v>
      </c>
      <c r="J13" s="10" t="inlineStr">
        <is>
          <t>很小</t>
        </is>
      </c>
      <c r="K13" s="10" t="inlineStr"/>
      <c r="L13" s="10" t="inlineStr">
        <is>
          <t>抓取与索引</t>
        </is>
      </c>
      <c r="M13" s="10" t="inlineStr">
        <is>
          <t>规则检查</t>
        </is>
      </c>
      <c r="N13" s="10" t="n">
        <v>2</v>
      </c>
      <c r="O13" s="10" t="inlineStr">
        <is>
          <t>https://duckwolf.cn/aiadplacer.html -&gt; http://duckwolf.cn/aiadplacer.html; https://duckwolf.cn/brandcn.html -&gt; http://duckwolf.cn/brandcn.html</t>
        </is>
      </c>
      <c r="P13" s="10" t="inlineStr">
        <is>
          <t>确认是否有意合并页面；若非有意，把 canonical 改为自身。</t>
        </is>
      </c>
      <c r="Q13" s="10" t="inlineStr"/>
      <c r="R13" s="10" t="inlineStr"/>
      <c r="S13" s="13" t="inlineStr">
        <is>
          <t>https://developers.google.com/search/docs/crawling-indexing/consolidate-duplicate-urls</t>
        </is>
      </c>
      <c r="T13" s="10" t="inlineStr">
        <is>
          <t>https://duckwolf.cn/aiadplacer.html
https://duckwolf.cn/brandcn.html</t>
        </is>
      </c>
    </row>
    <row r="14">
      <c r="A14" s="10" t="inlineStr">
        <is>
          <t>JEV-013</t>
        </is>
      </c>
      <c r="B14" s="10" t="inlineStr">
        <is>
          <t>站点地图中列出的 URL 存在跳转、错误或 noindex</t>
        </is>
      </c>
      <c r="C14" s="10" t="inlineStr">
        <is>
          <t>P2</t>
        </is>
      </c>
      <c r="D14" s="10" t="inlineStr">
        <is>
          <t>中</t>
        </is>
      </c>
      <c r="E14" s="11" t="inlineStr">
        <is>
          <t>to_do</t>
        </is>
      </c>
      <c r="F14" s="11" t="n"/>
      <c r="G14" s="12" t="n"/>
      <c r="H14" s="11" t="n"/>
      <c r="I14" s="10" t="n">
        <v>32</v>
      </c>
      <c r="J14" s="10" t="inlineStr">
        <is>
          <t>小</t>
        </is>
      </c>
      <c r="K14" s="10" t="inlineStr"/>
      <c r="L14" s="10" t="inlineStr">
        <is>
          <t>抓取与索引</t>
        </is>
      </c>
      <c r="M14" s="10" t="inlineStr">
        <is>
          <t>规则检查</t>
        </is>
      </c>
      <c r="N14" s="10" t="n">
        <v>2</v>
      </c>
      <c r="O14" s="10" t="inlineStr">
        <is>
          <t>2 of the crawled sitemap URLs are not final indexable pages</t>
        </is>
      </c>
      <c r="P14" s="10" t="inlineStr">
        <is>
          <t>站点地图中只保留最终、可索引、返回 HTTP 200 的 URL。</t>
        </is>
      </c>
      <c r="Q14" s="10" t="inlineStr"/>
      <c r="R14" s="10" t="inlineStr"/>
      <c r="S14" s="13" t="inlineStr">
        <is>
          <t>https://developers.google.com/search/docs/crawling-indexing/sitemaps/overview</t>
        </is>
      </c>
      <c r="T14" s="10" t="inlineStr">
        <is>
          <t>http://duckwolf.cn/aiadplacer.html
http://duckwolf.cn/brandcn.html</t>
        </is>
      </c>
    </row>
    <row r="15">
      <c r="A15" s="10" t="inlineStr">
        <is>
          <t>JEV-014</t>
        </is>
      </c>
      <c r="B15" s="10" t="inlineStr">
        <is>
          <t>标题没有准确描述页面内容</t>
        </is>
      </c>
      <c r="C15" s="10" t="inlineStr">
        <is>
          <t>P3</t>
        </is>
      </c>
      <c r="D15" s="10" t="inlineStr">
        <is>
          <t>中</t>
        </is>
      </c>
      <c r="E15" s="11" t="inlineStr">
        <is>
          <t>to_do</t>
        </is>
      </c>
      <c r="F15" s="11" t="n"/>
      <c r="G15" s="12" t="n"/>
      <c r="H15" s="11" t="n"/>
      <c r="I15" s="10" t="n">
        <v>26</v>
      </c>
      <c r="J15" s="10" t="inlineStr">
        <is>
          <t>很小</t>
        </is>
      </c>
      <c r="K15" s="10" t="inlineStr"/>
      <c r="L15" s="10" t="inlineStr">
        <is>
          <t>页面内优化</t>
        </is>
      </c>
      <c r="M15" s="10" t="inlineStr">
        <is>
          <t>引擎判定</t>
        </is>
      </c>
      <c r="N15" s="10" t="n">
        <v>2</v>
      </c>
      <c r="O15" s="10" t="inlineStr">
        <is>
          <t>Jev title fit averaged 0.32 (0 worst, 1 best) on 2 pages: /q.html, /claw.html</t>
        </is>
      </c>
      <c r="P15" s="10" t="inlineStr">
        <is>
          <t>用搜索者的表达方式重写标题，说清页面提供什么。</t>
        </is>
      </c>
      <c r="Q15" s="10" t="n">
        <v>1</v>
      </c>
      <c r="R15" s="10" t="inlineStr"/>
      <c r="S15" s="13" t="inlineStr">
        <is>
          <t>https://developers.google.com/search/docs/appearance/title-link</t>
        </is>
      </c>
      <c r="T15" s="10" t="inlineStr">
        <is>
          <t>https://duckwolf.cn/q.html
https://duckwolf.cn/claw.html</t>
        </is>
      </c>
    </row>
    <row r="16">
      <c r="A16" s="10" t="inlineStr">
        <is>
          <t>JEV-015</t>
        </is>
      </c>
      <c r="B16" s="10" t="inlineStr">
        <is>
          <t>缺少可独立引用的完整事实</t>
        </is>
      </c>
      <c r="C16" s="10" t="inlineStr">
        <is>
          <t>P3</t>
        </is>
      </c>
      <c r="D16" s="10" t="inlineStr">
        <is>
          <t>中</t>
        </is>
      </c>
      <c r="E16" s="11" t="inlineStr">
        <is>
          <t>to_do</t>
        </is>
      </c>
      <c r="F16" s="11" t="n"/>
      <c r="G16" s="12" t="n"/>
      <c r="H16" s="11" t="n"/>
      <c r="I16" s="10" t="n">
        <v>24</v>
      </c>
      <c r="J16" s="10" t="inlineStr">
        <is>
          <t>小</t>
        </is>
      </c>
      <c r="K16" s="10" t="inlineStr"/>
      <c r="L16" s="10" t="inlineStr">
        <is>
          <t>AI 搜索就绪度</t>
        </is>
      </c>
      <c r="M16" s="10" t="inlineStr">
        <is>
          <t>引擎判定</t>
        </is>
      </c>
      <c r="N16" s="10" t="n">
        <v>1</v>
      </c>
      <c r="O16" s="10" t="inlineStr">
        <is>
          <t>Jev citability averaged 0.24 (0 worst, 1 best) on 1 page: /claw.html</t>
        </is>
      </c>
      <c r="P16" s="10" t="inlineStr">
        <is>
          <t>补充脱离上下文也能看懂的事实陈述、定义与数字。属编辑经验，非 Google 要求。</t>
        </is>
      </c>
      <c r="Q16" s="10" t="n">
        <v>1</v>
      </c>
      <c r="R16" s="10" t="inlineStr">
        <is>
          <t>yes</t>
        </is>
      </c>
      <c r="S16" s="13" t="inlineStr">
        <is>
          <t>https://developers.google.com/search/docs/appearance/ai-features</t>
        </is>
      </c>
      <c r="T16" s="10" t="inlineStr">
        <is>
          <t>https://duckwolf.cn/claw.html</t>
        </is>
      </c>
    </row>
    <row r="17">
      <c r="A17" s="10" t="inlineStr">
        <is>
          <t>JEV-016</t>
        </is>
      </c>
      <c r="B17" s="10" t="inlineStr">
        <is>
          <t>没有 Strict-Transport-Security 响应头</t>
        </is>
      </c>
      <c r="C17" s="10" t="inlineStr">
        <is>
          <t>P3</t>
        </is>
      </c>
      <c r="D17" s="10" t="inlineStr">
        <is>
          <t>低</t>
        </is>
      </c>
      <c r="E17" s="11" t="inlineStr">
        <is>
          <t>to_do</t>
        </is>
      </c>
      <c r="F17" s="11" t="n"/>
      <c r="G17" s="12" t="n"/>
      <c r="H17" s="11" t="n"/>
      <c r="I17" s="10" t="n">
        <v>17</v>
      </c>
      <c r="J17" s="10" t="inlineStr">
        <is>
          <t>很小</t>
        </is>
      </c>
      <c r="K17" s="10" t="inlineStr"/>
      <c r="L17" s="10" t="inlineStr">
        <is>
          <t>安全与信任</t>
        </is>
      </c>
      <c r="M17" s="10" t="inlineStr">
        <is>
          <t>规则检查</t>
        </is>
      </c>
      <c r="N17" s="10" t="n">
        <v>1</v>
      </c>
      <c r="O17" s="10" t="inlineStr">
        <is>
          <t>Homepage response has no HSTS header</t>
        </is>
      </c>
      <c r="P17" s="10" t="inlineStr">
        <is>
          <t>在 HTTPS 站点上添加 Strict-Transport-Security 响应头。</t>
        </is>
      </c>
      <c r="Q17" s="10" t="inlineStr"/>
      <c r="R17" s="10" t="inlineStr"/>
      <c r="S17" s="13" t="inlineStr">
        <is>
          <t>https://developer.mozilla.org/en-US/docs/Web/HTTP/Reference/Headers/Strict-Transport-Security</t>
        </is>
      </c>
      <c r="T17" s="10" t="inlineStr">
        <is>
          <t>https://duckwolf.cn/</t>
        </is>
      </c>
    </row>
    <row r="18">
      <c r="A18" s="10" t="inlineStr">
        <is>
          <t>JEV-017</t>
        </is>
      </c>
      <c r="B18" s="10" t="inlineStr">
        <is>
          <t>缺少常见安全响应头</t>
        </is>
      </c>
      <c r="C18" s="10" t="inlineStr">
        <is>
          <t>P3</t>
        </is>
      </c>
      <c r="D18" s="10" t="inlineStr">
        <is>
          <t>低</t>
        </is>
      </c>
      <c r="E18" s="11" t="inlineStr">
        <is>
          <t>to_do</t>
        </is>
      </c>
      <c r="F18" s="11" t="n"/>
      <c r="G18" s="12" t="n"/>
      <c r="H18" s="11" t="n"/>
      <c r="I18" s="10" t="n">
        <v>17</v>
      </c>
      <c r="J18" s="10" t="inlineStr">
        <is>
          <t>很小</t>
        </is>
      </c>
      <c r="K18" s="10" t="inlineStr"/>
      <c r="L18" s="10" t="inlineStr">
        <is>
          <t>安全与信任</t>
        </is>
      </c>
      <c r="M18" s="10" t="inlineStr">
        <is>
          <t>规则检查</t>
        </is>
      </c>
      <c r="N18" s="10" t="n">
        <v>1</v>
      </c>
      <c r="O18" s="10" t="inlineStr">
        <is>
          <t>Missing on the homepage response: x-content-type-options, referrer-policy, x-frame-options or CSP frame-ancestors</t>
        </is>
      </c>
      <c r="P18" s="10" t="inlineStr">
        <is>
          <t>补充 Strict-Transport-Security、X-Content-Type-Options、X-Frame-Options 等响应头。</t>
        </is>
      </c>
      <c r="Q18" s="10" t="inlineStr"/>
      <c r="R18" s="10" t="inlineStr"/>
      <c r="S18" s="13" t="inlineStr">
        <is>
          <t>https://owasp.org/projects/secure-headers-project</t>
        </is>
      </c>
      <c r="T18" s="10" t="inlineStr">
        <is>
          <t>https://duckwolf.cn/</t>
        </is>
      </c>
    </row>
    <row r="19">
      <c r="A19" s="10" t="inlineStr">
        <is>
          <t>JEV-018</t>
        </is>
      </c>
      <c r="B19" s="10" t="inlineStr">
        <is>
          <t>没有声明 favicon</t>
        </is>
      </c>
      <c r="C19" s="10" t="inlineStr">
        <is>
          <t>P3</t>
        </is>
      </c>
      <c r="D19" s="10" t="inlineStr">
        <is>
          <t>低</t>
        </is>
      </c>
      <c r="E19" s="11" t="inlineStr">
        <is>
          <t>to_do</t>
        </is>
      </c>
      <c r="F19" s="11" t="n"/>
      <c r="G19" s="12" t="n"/>
      <c r="H19" s="11" t="n"/>
      <c r="I19" s="10" t="n">
        <v>17</v>
      </c>
      <c r="J19" s="10" t="inlineStr">
        <is>
          <t>很小</t>
        </is>
      </c>
      <c r="K19" s="10" t="inlineStr"/>
      <c r="L19" s="10" t="inlineStr">
        <is>
          <t>安全与信任</t>
        </is>
      </c>
      <c r="M19" s="10" t="inlineStr">
        <is>
          <t>规则检查</t>
        </is>
      </c>
      <c r="N19" s="10" t="n">
        <v>1</v>
      </c>
      <c r="O19" s="10" t="inlineStr">
        <is>
          <t>No link rel=icon on the homepage</t>
        </is>
      </c>
      <c r="P19" s="10" t="inlineStr">
        <is>
          <t>添加 &lt;link rel="icon"&gt; 指向站点图标，改善浏览器标签页与收藏的辨识度。</t>
        </is>
      </c>
      <c r="Q19" s="10" t="inlineStr"/>
      <c r="R19" s="10" t="inlineStr"/>
      <c r="S19" s="13" t="inlineStr">
        <is>
          <t>https://developers.google.com/search/docs/fundamentals/seo-starter-guide</t>
        </is>
      </c>
      <c r="T19" s="10" t="inlineStr">
        <is>
          <t>https://duckwolf.cn/</t>
        </is>
      </c>
    </row>
    <row r="20">
      <c r="A20" s="10" t="inlineStr">
        <is>
          <t>JEV-019</t>
        </is>
      </c>
      <c r="B20" s="10" t="inlineStr">
        <is>
          <t>可索引页面未出现在站点地图中</t>
        </is>
      </c>
      <c r="C20" s="10" t="inlineStr">
        <is>
          <t>P3</t>
        </is>
      </c>
      <c r="D20" s="10" t="inlineStr">
        <is>
          <t>低</t>
        </is>
      </c>
      <c r="E20" s="11" t="inlineStr">
        <is>
          <t>to_do</t>
        </is>
      </c>
      <c r="F20" s="11" t="n"/>
      <c r="G20" s="12" t="n"/>
      <c r="H20" s="11" t="n"/>
      <c r="I20" s="10" t="n">
        <v>15</v>
      </c>
      <c r="J20" s="10" t="inlineStr">
        <is>
          <t>很小</t>
        </is>
      </c>
      <c r="K20" s="10" t="inlineStr"/>
      <c r="L20" s="10" t="inlineStr">
        <is>
          <t>抓取与索引</t>
        </is>
      </c>
      <c r="M20" s="10" t="inlineStr">
        <is>
          <t>规则检查</t>
        </is>
      </c>
      <c r="N20" s="10" t="n">
        <v>5</v>
      </c>
      <c r="O20" s="10" t="inlineStr">
        <is>
          <t>5 crawled indexable pages are not listed</t>
        </is>
      </c>
      <c r="P20" s="10" t="inlineStr">
        <is>
          <t>把这些规范页面补进站点地图。</t>
        </is>
      </c>
      <c r="Q20" s="10" t="inlineStr"/>
      <c r="R20" s="10" t="inlineStr"/>
      <c r="S20" s="13" t="inlineStr">
        <is>
          <t>https://developers.google.com/search/docs/crawling-indexing/sitemaps/overview</t>
        </is>
      </c>
      <c r="T20" s="10" t="inlineStr">
        <is>
          <t>https://duckwolf.cn/
https://duckwolf.cn/q.html
https://duckwolf.cn/claw.html
https://duckwolf.cn/pdooh.html
https://duckwolf.cn/wifi.html</t>
        </is>
      </c>
    </row>
    <row r="21">
      <c r="A21" s="10" t="inlineStr">
        <is>
          <t>JEV-020</t>
        </is>
      </c>
      <c r="B21" s="10" t="inlineStr">
        <is>
          <t>页面没有 canonical 标签</t>
        </is>
      </c>
      <c r="C21" s="10" t="inlineStr">
        <is>
          <t>P3</t>
        </is>
      </c>
      <c r="D21" s="10" t="inlineStr">
        <is>
          <t>低</t>
        </is>
      </c>
      <c r="E21" s="11" t="inlineStr">
        <is>
          <t>to_do</t>
        </is>
      </c>
      <c r="F21" s="11" t="n"/>
      <c r="G21" s="12" t="n"/>
      <c r="H21" s="11" t="n"/>
      <c r="I21" s="10" t="n">
        <v>15</v>
      </c>
      <c r="J21" s="10" t="inlineStr">
        <is>
          <t>很小</t>
        </is>
      </c>
      <c r="K21" s="10" t="inlineStr"/>
      <c r="L21" s="10" t="inlineStr">
        <is>
          <t>抓取与索引</t>
        </is>
      </c>
      <c r="M21" s="10" t="inlineStr">
        <is>
          <t>规则检查</t>
        </is>
      </c>
      <c r="N21" s="10" t="n">
        <v>5</v>
      </c>
      <c r="O21" s="10" t="inlineStr">
        <is>
          <t>5 of 7 pages</t>
        </is>
      </c>
      <c r="P21" s="10" t="inlineStr">
        <is>
          <t>为可索引页面加上指向自身的 canonical。</t>
        </is>
      </c>
      <c r="Q21" s="10" t="inlineStr"/>
      <c r="R21" s="10" t="inlineStr"/>
      <c r="S21" s="13" t="inlineStr">
        <is>
          <t>https://developers.google.com/search/docs/crawling-indexing/consolidate-duplicate-urls</t>
        </is>
      </c>
      <c r="T21" s="10" t="inlineStr">
        <is>
          <t>https://duckwolf.cn/
https://duckwolf.cn/q.html
https://duckwolf.cn/claw.html
https://duckwolf.cn/pdooh.html
https://duckwolf.cn/wifi.html</t>
        </is>
      </c>
    </row>
    <row r="22">
      <c r="A22" s="10" t="inlineStr">
        <is>
          <t>JEV-021</t>
        </is>
      </c>
      <c r="B22" s="10" t="inlineStr">
        <is>
          <t>Open Graph 标题或图片缺失</t>
        </is>
      </c>
      <c r="C22" s="10" t="inlineStr">
        <is>
          <t>P3</t>
        </is>
      </c>
      <c r="D22" s="10" t="inlineStr">
        <is>
          <t>低</t>
        </is>
      </c>
      <c r="E22" s="11" t="inlineStr">
        <is>
          <t>to_do</t>
        </is>
      </c>
      <c r="F22" s="11" t="n"/>
      <c r="G22" s="12" t="n"/>
      <c r="H22" s="11" t="n"/>
      <c r="I22" s="10" t="n">
        <v>15</v>
      </c>
      <c r="J22" s="10" t="inlineStr">
        <is>
          <t>很小</t>
        </is>
      </c>
      <c r="K22" s="10" t="inlineStr"/>
      <c r="L22" s="10" t="inlineStr">
        <is>
          <t>结构化数据与分享</t>
        </is>
      </c>
      <c r="M22" s="10" t="inlineStr">
        <is>
          <t>规则检查</t>
        </is>
      </c>
      <c r="N22" s="10" t="n">
        <v>5</v>
      </c>
      <c r="O22" s="10" t="inlineStr">
        <is>
          <t>5 pages lack og:title or og:image</t>
        </is>
      </c>
      <c r="P22" s="10" t="inlineStr">
        <is>
          <t>补上 og:title 与 og:image，让分享链接有标题与预览图。</t>
        </is>
      </c>
      <c r="Q22" s="10" t="inlineStr"/>
      <c r="R22" s="10" t="inlineStr"/>
      <c r="S22" s="13" t="inlineStr">
        <is>
          <t>https://ogp.me/</t>
        </is>
      </c>
      <c r="T22" s="10" t="inlineStr">
        <is>
          <t>https://duckwolf.cn/
https://duckwolf.cn/q.html
https://duckwolf.cn/claw.html
https://duckwolf.cn/pdooh.html
https://duckwolf.cn/wifi.html</t>
        </is>
      </c>
    </row>
    <row r="23">
      <c r="A23" s="10" t="inlineStr">
        <is>
          <t>JEV-022</t>
        </is>
      </c>
      <c r="B23" s="10" t="inlineStr">
        <is>
          <t>标题层级跳级</t>
        </is>
      </c>
      <c r="C23" s="10" t="inlineStr">
        <is>
          <t>P3</t>
        </is>
      </c>
      <c r="D23" s="10" t="inlineStr">
        <is>
          <t>低</t>
        </is>
      </c>
      <c r="E23" s="11" t="inlineStr">
        <is>
          <t>to_do</t>
        </is>
      </c>
      <c r="F23" s="11" t="n"/>
      <c r="G23" s="12" t="n"/>
      <c r="H23" s="11" t="n"/>
      <c r="I23" s="10" t="n">
        <v>13</v>
      </c>
      <c r="J23" s="10" t="inlineStr">
        <is>
          <t>很小</t>
        </is>
      </c>
      <c r="K23" s="10" t="inlineStr"/>
      <c r="L23" s="10" t="inlineStr">
        <is>
          <t>页面内优化</t>
        </is>
      </c>
      <c r="M23" s="10" t="inlineStr">
        <is>
          <t>规则检查</t>
        </is>
      </c>
      <c r="N23" s="10" t="n">
        <v>3</v>
      </c>
      <c r="O23" s="10" t="inlineStr">
        <is>
          <t>3 pages skip a heading level</t>
        </is>
      </c>
      <c r="P23" s="10" t="inlineStr">
        <is>
          <t>例如从 H2 直接跳到 H4。按顺序使用标题层级，有助于无障碍阅读与结构解析。</t>
        </is>
      </c>
      <c r="Q23" s="10" t="inlineStr"/>
      <c r="R23" s="10" t="inlineStr">
        <is>
          <t>yes</t>
        </is>
      </c>
      <c r="S23" s="13" t="inlineStr">
        <is>
          <t>https://developers.google.com/search/docs/fundamentals/seo-starter-guide</t>
        </is>
      </c>
      <c r="T23" s="10" t="inlineStr">
        <is>
          <t>https://duckwolf.cn/
https://duckwolf.cn/pdooh.html
https://duckwolf.cn/wifi.html</t>
        </is>
      </c>
    </row>
    <row r="24">
      <c r="A24" s="10" t="inlineStr">
        <is>
          <t>JEV-023</t>
        </is>
      </c>
      <c r="B24" s="10" t="inlineStr">
        <is>
          <t>内部链接经过重定向才到达目标</t>
        </is>
      </c>
      <c r="C24" s="10" t="inlineStr">
        <is>
          <t>P3</t>
        </is>
      </c>
      <c r="D24" s="10" t="inlineStr">
        <is>
          <t>低</t>
        </is>
      </c>
      <c r="E24" s="11" t="inlineStr">
        <is>
          <t>to_do</t>
        </is>
      </c>
      <c r="F24" s="11" t="n"/>
      <c r="G24" s="12" t="n"/>
      <c r="H24" s="11" t="n"/>
      <c r="I24" s="10" t="n">
        <v>12</v>
      </c>
      <c r="J24" s="10" t="inlineStr">
        <is>
          <t>很小</t>
        </is>
      </c>
      <c r="K24" s="10" t="inlineStr"/>
      <c r="L24" s="10" t="inlineStr">
        <is>
          <t>链接与结构</t>
        </is>
      </c>
      <c r="M24" s="10" t="inlineStr">
        <is>
          <t>规则检查</t>
        </is>
      </c>
      <c r="N24" s="10" t="n">
        <v>2</v>
      </c>
      <c r="O24" s="10" t="inlineStr">
        <is>
          <t>/ links to /aiadplacer.html (redirects to /aiadplacer.html); / links to /brandcn.html (redirects to /brandcn.html); / links to /claw.html (redirects to /claw.html); / links to /pdooh.html (redirects to /pdooh.html); / links to /q.html (redirects to /q.html); and 2 more</t>
        </is>
      </c>
      <c r="P24" s="10" t="inlineStr">
        <is>
          <t>把链接直接指向最终 URL，省去一跳跳转。</t>
        </is>
      </c>
      <c r="Q24" s="10" t="inlineStr"/>
      <c r="R24" s="10" t="inlineStr"/>
      <c r="S24" s="13" t="inlineStr">
        <is>
          <t>https://developers.google.com/search/docs/crawling-indexing/301-redirects</t>
        </is>
      </c>
      <c r="T24" s="10" t="inlineStr">
        <is>
          <t>https://duckwolf.cn/
https://duckwolf.cn/aiadplacer.html</t>
        </is>
      </c>
    </row>
    <row r="25">
      <c r="A25" s="10" t="inlineStr">
        <is>
          <t>JEV-024</t>
        </is>
      </c>
      <c r="B25" s="10" t="inlineStr">
        <is>
          <t>结构化数据缺少 Google 富媒体结果所需字段</t>
        </is>
      </c>
      <c r="C25" s="10" t="inlineStr">
        <is>
          <t>P3</t>
        </is>
      </c>
      <c r="D25" s="10" t="inlineStr">
        <is>
          <t>低</t>
        </is>
      </c>
      <c r="E25" s="11" t="inlineStr">
        <is>
          <t>to_do</t>
        </is>
      </c>
      <c r="F25" s="11" t="n"/>
      <c r="G25" s="12" t="n"/>
      <c r="H25" s="11" t="n"/>
      <c r="I25" s="10" t="n">
        <v>12</v>
      </c>
      <c r="J25" s="10" t="inlineStr">
        <is>
          <t>很小</t>
        </is>
      </c>
      <c r="K25" s="10" t="inlineStr"/>
      <c r="L25" s="10" t="inlineStr">
        <is>
          <t>结构化数据与分享</t>
        </is>
      </c>
      <c r="M25" s="10" t="inlineStr">
        <is>
          <t>规则检查</t>
        </is>
      </c>
      <c r="N25" s="10" t="n">
        <v>2</v>
      </c>
      <c r="O25" s="10" t="inlineStr">
        <is>
          <t>SoftwareApplication on / lacks aggregateRating or review; SoftwareApplication on /aiadplacer.html lacks aggregateRating or review</t>
        </is>
      </c>
      <c r="P25" s="10" t="inlineStr">
        <is>
          <t>补齐该类型对应的必填属性，例如 Article 的 headline 与 datePublished。</t>
        </is>
      </c>
      <c r="Q25" s="10" t="inlineStr"/>
      <c r="R25" s="10" t="inlineStr"/>
      <c r="S25" s="13" t="inlineStr">
        <is>
          <t>https://developers.google.com/search/docs/appearance/structured-data/intro-structured-data</t>
        </is>
      </c>
      <c r="T25" s="10" t="inlineStr">
        <is>
          <t>https://duckwolf.cn/
https://duckwolf.cn/aiadplacer.html</t>
        </is>
      </c>
    </row>
    <row r="26">
      <c r="A26" s="10" t="inlineStr">
        <is>
          <t>JEV-025</t>
        </is>
      </c>
      <c r="B26" s="10" t="inlineStr">
        <is>
          <t>页面没有声明语言</t>
        </is>
      </c>
      <c r="C26" s="10" t="inlineStr">
        <is>
          <t>P3</t>
        </is>
      </c>
      <c r="D26" s="10" t="inlineStr">
        <is>
          <t>低</t>
        </is>
      </c>
      <c r="E26" s="11" t="inlineStr">
        <is>
          <t>to_do</t>
        </is>
      </c>
      <c r="F26" s="11" t="n"/>
      <c r="G26" s="12" t="n"/>
      <c r="H26" s="11" t="n"/>
      <c r="I26" s="10" t="n">
        <v>11</v>
      </c>
      <c r="J26" s="10" t="inlineStr">
        <is>
          <t>很小</t>
        </is>
      </c>
      <c r="K26" s="10" t="inlineStr"/>
      <c r="L26" s="10" t="inlineStr">
        <is>
          <t>页面内优化</t>
        </is>
      </c>
      <c r="M26" s="10" t="inlineStr">
        <is>
          <t>规则检查</t>
        </is>
      </c>
      <c r="N26" s="10" t="n">
        <v>1</v>
      </c>
      <c r="O26" s="10" t="inlineStr">
        <is>
          <t>1 page</t>
        </is>
      </c>
      <c r="P26" s="10" t="inlineStr">
        <is>
          <t>在 html 标签上设置 lang 属性。</t>
        </is>
      </c>
      <c r="Q26" s="10" t="inlineStr"/>
      <c r="R26" s="10" t="inlineStr"/>
      <c r="S26" s="13" t="inlineStr">
        <is>
          <t>https://developer.mozilla.org/en-US/docs/Web/HTML/Reference/Global_attributes/lang</t>
        </is>
      </c>
      <c r="T26" s="10" t="inlineStr">
        <is>
          <t>https://duckwolf.cn/</t>
        </is>
      </c>
    </row>
    <row r="27">
      <c r="A27" s="10" t="inlineStr">
        <is>
          <t>JEV-026</t>
        </is>
      </c>
      <c r="B27" s="10" t="inlineStr">
        <is>
          <t>图片未声明宽高</t>
        </is>
      </c>
      <c r="C27" s="10" t="inlineStr">
        <is>
          <t>P3</t>
        </is>
      </c>
      <c r="D27" s="10" t="inlineStr">
        <is>
          <t>低</t>
        </is>
      </c>
      <c r="E27" s="11" t="inlineStr">
        <is>
          <t>to_do</t>
        </is>
      </c>
      <c r="F27" s="11" t="n"/>
      <c r="G27" s="12" t="n"/>
      <c r="H27" s="11" t="n"/>
      <c r="I27" s="10" t="n">
        <v>11</v>
      </c>
      <c r="J27" s="10" t="inlineStr">
        <is>
          <t>很小</t>
        </is>
      </c>
      <c r="K27" s="10" t="inlineStr"/>
      <c r="L27" s="10" t="inlineStr">
        <is>
          <t>性能</t>
        </is>
      </c>
      <c r="M27" s="10" t="inlineStr">
        <is>
          <t>规则检查</t>
        </is>
      </c>
      <c r="N27" s="10" t="n">
        <v>1</v>
      </c>
      <c r="O27" s="10" t="inlineStr">
        <is>
          <t>10 images without explicit size</t>
        </is>
      </c>
      <c r="P27" s="10" t="inlineStr">
        <is>
          <t>为图片补上 width 与 height 属性，避免加载时布局跳动。</t>
        </is>
      </c>
      <c r="Q27" s="10" t="inlineStr"/>
      <c r="R27" s="10" t="inlineStr"/>
      <c r="S27" s="13" t="inlineStr">
        <is>
          <t>https://web.dev/articles/optimize-cls</t>
        </is>
      </c>
      <c r="T27" s="10" t="inlineStr">
        <is>
          <t>https://duckwolf.cn/</t>
        </is>
      </c>
    </row>
    <row r="28">
      <c r="A28" s="10" t="inlineStr">
        <is>
          <t>JEV-027</t>
        </is>
      </c>
      <c r="B28" s="10" t="inlineStr">
        <is>
          <t>外部链接返回错误</t>
        </is>
      </c>
      <c r="C28" s="10" t="inlineStr">
        <is>
          <t>P3</t>
        </is>
      </c>
      <c r="D28" s="10" t="inlineStr">
        <is>
          <t>低</t>
        </is>
      </c>
      <c r="E28" s="11" t="inlineStr">
        <is>
          <t>to_do</t>
        </is>
      </c>
      <c r="F28" s="11" t="n"/>
      <c r="G28" s="12" t="n"/>
      <c r="H28" s="11" t="n"/>
      <c r="I28" s="10" t="n">
        <v>11</v>
      </c>
      <c r="J28" s="10" t="inlineStr">
        <is>
          <t>很小</t>
        </is>
      </c>
      <c r="K28" s="10" t="inlineStr"/>
      <c r="L28" s="10" t="inlineStr">
        <is>
          <t>链接与结构</t>
        </is>
      </c>
      <c r="M28" s="10" t="inlineStr">
        <is>
          <t>规则检查</t>
        </is>
      </c>
      <c r="N28" s="10" t="n">
        <v>2</v>
      </c>
      <c r="O28" s="10" t="inlineStr">
        <is>
          <t>2 of 15 sampled outbound links</t>
        </is>
      </c>
      <c r="P28" s="10" t="inlineStr">
        <is>
          <t>核实这些外链是否仍有效，更新或移除失效链接。</t>
        </is>
      </c>
      <c r="Q28" s="10" t="inlineStr"/>
      <c r="R28" s="10" t="inlineStr"/>
      <c r="S28" s="13" t="inlineStr">
        <is>
          <t>https://developers.google.com/crawling/docs/troubleshooting/http-status-codes</t>
        </is>
      </c>
      <c r="T28" s="10" t="inlineStr">
        <is>
          <t>https://moltlist.onrender.com/
https://wpa.qq.com/msgrd?v=3&amp;uin=602947&amp;site=duckwolf.cn&amp;menu=yes&amp;from=discuz</t>
        </is>
      </c>
    </row>
    <row r="29">
      <c r="A29" s="10" t="inlineStr">
        <is>
          <t>JEV-028</t>
        </is>
      </c>
      <c r="B29" s="10" t="inlineStr">
        <is>
          <t>meta description 质量偏弱</t>
        </is>
      </c>
      <c r="C29" s="10" t="inlineStr">
        <is>
          <t>P3</t>
        </is>
      </c>
      <c r="D29" s="10" t="inlineStr">
        <is>
          <t>低</t>
        </is>
      </c>
      <c r="E29" s="11" t="inlineStr">
        <is>
          <t>to_do</t>
        </is>
      </c>
      <c r="F29" s="11" t="n"/>
      <c r="G29" s="12" t="n"/>
      <c r="H29" s="11" t="n"/>
      <c r="I29" s="10" t="n">
        <v>11</v>
      </c>
      <c r="J29" s="10" t="inlineStr">
        <is>
          <t>很小</t>
        </is>
      </c>
      <c r="K29" s="10" t="inlineStr"/>
      <c r="L29" s="10" t="inlineStr">
        <is>
          <t>页面内优化</t>
        </is>
      </c>
      <c r="M29" s="10" t="inlineStr">
        <is>
          <t>引擎判定</t>
        </is>
      </c>
      <c r="N29" s="10" t="n">
        <v>1</v>
      </c>
      <c r="O29" s="10" t="inlineStr">
        <is>
          <t>Jev meta description fit averaged 0.28 (0 worst, 1 best) on 1 page: /</t>
        </is>
      </c>
      <c r="P29" s="10" t="inlineStr">
        <is>
          <t>把描述改为具体概括页面交付内容。</t>
        </is>
      </c>
      <c r="Q29" s="10" t="inlineStr"/>
      <c r="R29" s="10" t="inlineStr"/>
      <c r="S29" s="13" t="inlineStr">
        <is>
          <t>https://developers.google.com/search/docs/appearance/snippet</t>
        </is>
      </c>
      <c r="T29" s="10" t="inlineStr">
        <is>
          <t>https://duckwolf.cn/</t>
        </is>
      </c>
    </row>
    <row r="30">
      <c r="A30" s="10" t="inlineStr">
        <is>
          <t>JEV-029</t>
        </is>
      </c>
      <c r="B30" s="10" t="inlineStr">
        <is>
          <t>页面把重点埋在后面</t>
        </is>
      </c>
      <c r="C30" s="10" t="inlineStr">
        <is>
          <t>P3</t>
        </is>
      </c>
      <c r="D30" s="10" t="inlineStr">
        <is>
          <t>低</t>
        </is>
      </c>
      <c r="E30" s="11" t="inlineStr">
        <is>
          <t>to_do</t>
        </is>
      </c>
      <c r="F30" s="11" t="n"/>
      <c r="G30" s="12" t="n"/>
      <c r="H30" s="11" t="n"/>
      <c r="I30" s="10" t="n">
        <v>9</v>
      </c>
      <c r="J30" s="10" t="inlineStr">
        <is>
          <t>很小</t>
        </is>
      </c>
      <c r="K30" s="10" t="inlineStr"/>
      <c r="L30" s="10" t="inlineStr">
        <is>
          <t>AI 搜索就绪度</t>
        </is>
      </c>
      <c r="M30" s="10" t="inlineStr">
        <is>
          <t>引擎判定</t>
        </is>
      </c>
      <c r="N30" s="10" t="n">
        <v>2</v>
      </c>
      <c r="O30" s="10" t="inlineStr">
        <is>
          <t>Jev P(opens with the point) averaged 0.32 (0 worst, 1 best) on 2 pages: /q.html, /claw.html</t>
        </is>
      </c>
      <c r="P30" s="10" t="inlineStr">
        <is>
          <t>开头一到两句直接给出答案或产品说明，不要铺垫。属编辑经验，面向读者与回答引擎，非 Google 要求。</t>
        </is>
      </c>
      <c r="Q30" s="10" t="n">
        <v>1</v>
      </c>
      <c r="R30" s="10" t="inlineStr">
        <is>
          <t>yes</t>
        </is>
      </c>
      <c r="S30" s="13" t="inlineStr">
        <is>
          <t>https://developers.google.com/search/docs/appearance/ai-features</t>
        </is>
      </c>
      <c r="T30" s="10" t="inlineStr">
        <is>
          <t>https://duckwolf.cn/q.html
https://duckwolf.cn/claw.html</t>
        </is>
      </c>
    </row>
    <row r="31">
      <c r="A31" s="10" t="inlineStr">
        <is>
          <t>JEV-030</t>
        </is>
      </c>
      <c r="B31" s="10" t="inlineStr">
        <is>
          <t>标题过短或过长</t>
        </is>
      </c>
      <c r="C31" s="10" t="inlineStr">
        <is>
          <t>P3</t>
        </is>
      </c>
      <c r="D31" s="10" t="inlineStr">
        <is>
          <t>低</t>
        </is>
      </c>
      <c r="E31" s="11" t="inlineStr">
        <is>
          <t>to_do</t>
        </is>
      </c>
      <c r="F31" s="11" t="n"/>
      <c r="G31" s="12" t="n"/>
      <c r="H31" s="11" t="n"/>
      <c r="I31" s="10" t="n">
        <v>6</v>
      </c>
      <c r="J31" s="10" t="inlineStr">
        <is>
          <t>很小</t>
        </is>
      </c>
      <c r="K31" s="10" t="inlineStr"/>
      <c r="L31" s="10" t="inlineStr">
        <is>
          <t>页面内优化</t>
        </is>
      </c>
      <c r="M31" s="10" t="inlineStr">
        <is>
          <t>规则检查</t>
        </is>
      </c>
      <c r="N31" s="10" t="n">
        <v>1</v>
      </c>
      <c r="O31" s="10" t="inlineStr">
        <is>
          <t>4 chars</t>
        </is>
      </c>
      <c r="P31" s="10" t="inlineStr">
        <is>
          <t>把标题调整到能准确概括页面主题的长度。</t>
        </is>
      </c>
      <c r="Q31" s="10" t="inlineStr"/>
      <c r="R31" s="10" t="inlineStr">
        <is>
          <t>yes</t>
        </is>
      </c>
      <c r="S31" s="13" t="inlineStr">
        <is>
          <t>https://developers.google.com/search/docs/appearance/title-link</t>
        </is>
      </c>
      <c r="T31" s="10" t="inlineStr">
        <is>
          <t>https://duckwolf.cn/q.html</t>
        </is>
      </c>
    </row>
  </sheetData>
  <autoFilter ref="A1:T31"/>
  <conditionalFormatting sqref="E2:E31">
    <cfRule type="cellIs" priority="1" operator="equal" dxfId="0">
      <formula>"done"</formula>
    </cfRule>
  </conditionalFormatting>
  <conditionalFormatting sqref="I2:I31">
    <cfRule type="colorScale" priority="2">
      <colorScale>
        <cfvo type="num" val="0"/>
        <cfvo type="num" val="100"/>
        <color rgb="00FFFFFF"/>
        <color rgb="00E691CF"/>
      </colorScale>
    </cfRule>
  </conditionalFormatting>
  <dataValidations count="2">
    <dataValidation sqref="E2:E31" showDropDown="0" showInputMessage="0" showErrorMessage="0" allowBlank="0" type="list">
      <formula1>"to_do,in_progress,done,deferred,not_applicable"</formula1>
    </dataValidation>
    <dataValidation sqref="C2:C31" showDropDown="0" showInputMessage="0" showErrorMessage="0" allowBlank="0" type="list">
      <formula1>"P1,P2,P3"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3C2B7"/>
    <outlinePr summaryBelow="1" summaryRight="1"/>
    <pageSetUpPr/>
  </sheetPr>
  <dimension ref="A1:A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8" customWidth="1" min="2" max="2"/>
    <col width="7" customWidth="1" min="3" max="3"/>
    <col width="40" customWidth="1" min="4" max="4"/>
    <col width="8" customWidth="1" min="5" max="5"/>
    <col width="8" customWidth="1" min="6" max="6"/>
    <col width="34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7" customWidth="1" min="13" max="13"/>
    <col width="9" customWidth="1" min="14" max="14"/>
    <col width="9" customWidth="1" min="15" max="15"/>
    <col width="40" customWidth="1" min="16" max="16"/>
    <col width="26" customWidth="1" min="17" max="17"/>
    <col width="8" customWidth="1" min="18" max="18"/>
    <col width="8" customWidth="1" min="19" max="19"/>
    <col width="9" customWidth="1" min="20" max="20"/>
    <col width="18" customWidth="1" min="21" max="21"/>
    <col width="14" customWidth="1" min="22" max="22"/>
    <col width="10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30" customHeight="1">
      <c r="A1" s="9" t="inlineStr">
        <is>
          <t>URL</t>
        </is>
      </c>
      <c r="B1" s="9" t="inlineStr">
        <is>
          <t>状态</t>
        </is>
      </c>
      <c r="C1" s="9" t="inlineStr">
        <is>
          <t>深度</t>
        </is>
      </c>
      <c r="D1" s="9" t="inlineStr">
        <is>
          <t>标题</t>
        </is>
      </c>
      <c r="E1" s="9" t="inlineStr">
        <is>
          <t>标题字数</t>
        </is>
      </c>
      <c r="F1" s="9" t="inlineStr">
        <is>
          <t>描述字数</t>
        </is>
      </c>
      <c r="G1" s="9" t="inlineStr">
        <is>
          <t>H1</t>
        </is>
      </c>
      <c r="H1" s="9" t="inlineStr">
        <is>
          <t>H1 数量</t>
        </is>
      </c>
      <c r="I1" s="9" t="inlineStr">
        <is>
          <t>词数</t>
        </is>
      </c>
      <c r="J1" s="9" t="inlineStr">
        <is>
          <t>内链</t>
        </is>
      </c>
      <c r="K1" s="9" t="inlineStr">
        <is>
          <t>出链</t>
        </is>
      </c>
      <c r="L1" s="9" t="inlineStr">
        <is>
          <t>图片</t>
        </is>
      </c>
      <c r="M1" s="9" t="inlineStr">
        <is>
          <t>缺 alt</t>
        </is>
      </c>
      <c r="N1" s="9" t="inlineStr">
        <is>
          <t>可索引</t>
        </is>
      </c>
      <c r="O1" s="9" t="inlineStr">
        <is>
          <t>在 sitemap</t>
        </is>
      </c>
      <c r="P1" s="9" t="inlineStr">
        <is>
          <t>canonical</t>
        </is>
      </c>
      <c r="Q1" s="9" t="inlineStr">
        <is>
          <t>结构化数据</t>
        </is>
      </c>
      <c r="R1" s="9" t="inlineStr">
        <is>
          <t>首字节时间</t>
        </is>
      </c>
      <c r="S1" s="9" t="inlineStr">
        <is>
          <t>HTML 体积(KB)</t>
        </is>
      </c>
      <c r="T1" s="9" t="inlineStr">
        <is>
          <t>已渲染</t>
        </is>
      </c>
      <c r="U1" s="9" t="inlineStr">
        <is>
          <t>Type (Jev)</t>
        </is>
      </c>
      <c r="V1" s="9" t="inlineStr">
        <is>
          <t>搜索意图</t>
        </is>
      </c>
      <c r="W1" s="9" t="inlineStr">
        <is>
          <t>重要度</t>
        </is>
      </c>
      <c r="X1" s="9" t="inlineStr">
        <is>
          <t>行动项</t>
        </is>
      </c>
      <c r="Y1" s="9" t="inlineStr">
        <is>
          <t>Helpfulness (引擎)</t>
        </is>
      </c>
      <c r="Z1" s="9" t="inlineStr">
        <is>
          <t>Specificity (引擎)</t>
        </is>
      </c>
      <c r="AA1" s="9" t="inlineStr">
        <is>
          <t>Trust (引擎)</t>
        </is>
      </c>
      <c r="AB1" s="9" t="inlineStr">
        <is>
          <t>Citability (引擎)</t>
        </is>
      </c>
      <c r="AC1" s="9" t="inlineStr">
        <is>
          <t>Answer first (引擎)</t>
        </is>
      </c>
      <c r="AD1" s="9" t="inlineStr">
        <is>
          <t>Title fit (引擎)</t>
        </is>
      </c>
      <c r="AE1" s="9" t="inlineStr">
        <is>
          <t>Meta fit (引擎)</t>
        </is>
      </c>
      <c r="AF1" s="9" t="inlineStr">
        <is>
          <t>Next step (引擎)</t>
        </is>
      </c>
    </row>
    <row r="2">
      <c r="A2" s="13" t="inlineStr">
        <is>
          <t>https://duckwolf.cn/</t>
        </is>
      </c>
      <c r="B2" s="10" t="n">
        <v>200</v>
      </c>
      <c r="C2" s="10" t="n">
        <v>0</v>
      </c>
      <c r="D2" s="10" t="inlineStr">
        <is>
          <t>duckwolf.cn - Tom Wu 的 AI 商业化与社区媒体智能投放站 - Powered by Discuz!</t>
        </is>
      </c>
      <c r="E2" s="10" t="n">
        <v>60</v>
      </c>
      <c r="F2" s="10" t="n">
        <v>154</v>
      </c>
      <c r="G2" s="10" t="inlineStr"/>
      <c r="H2" s="10" t="n">
        <v>0</v>
      </c>
      <c r="I2" s="10" t="n">
        <v>275</v>
      </c>
      <c r="J2" s="10" t="n">
        <v>0</v>
      </c>
      <c r="K2" s="10" t="n">
        <v>116</v>
      </c>
      <c r="L2" s="10" t="n">
        <v>10</v>
      </c>
      <c r="M2" s="10" t="n">
        <v>0</v>
      </c>
      <c r="N2" s="10" t="inlineStr">
        <is>
          <t>yes</t>
        </is>
      </c>
      <c r="O2" s="10" t="inlineStr">
        <is>
          <t>no</t>
        </is>
      </c>
      <c r="P2" s="10" t="n"/>
      <c r="Q2" s="10" t="inlineStr">
        <is>
          <t>Offer, Organization, Person, PostalAddress, PropertyValue, SoftwareApplication, WebPage, WebSite</t>
        </is>
      </c>
      <c r="R2" s="10" t="n">
        <v>2045</v>
      </c>
      <c r="S2" s="10" t="n">
        <v>36</v>
      </c>
      <c r="T2" s="10" t="inlineStr">
        <is>
          <t>no</t>
        </is>
      </c>
      <c r="U2" s="10" t="inlineStr">
        <is>
          <t>homepage</t>
        </is>
      </c>
      <c r="V2" s="10" t="inlineStr">
        <is>
          <t>navigational</t>
        </is>
      </c>
      <c r="W2" s="14" t="n">
        <v>0.6403</v>
      </c>
      <c r="X2" s="10" t="inlineStr">
        <is>
          <t>rewrite</t>
        </is>
      </c>
      <c r="Y2" s="14" t="n">
        <v>0.4716</v>
      </c>
      <c r="Z2" s="14" t="n">
        <v>0.5719</v>
      </c>
      <c r="AA2" s="14" t="n">
        <v>0.3223</v>
      </c>
      <c r="AB2" s="14" t="n">
        <v>0.5205</v>
      </c>
      <c r="AC2" s="14" t="n">
        <v>0.983</v>
      </c>
      <c r="AD2" s="14" t="n">
        <v>0.4866</v>
      </c>
      <c r="AE2" s="14" t="n">
        <v>0.2751</v>
      </c>
      <c r="AF2" s="14" t="n">
        <v>0.9891</v>
      </c>
    </row>
    <row r="3">
      <c r="A3" s="13" t="inlineStr">
        <is>
          <t>https://duckwolf.cn/aiadplacer.html</t>
        </is>
      </c>
      <c r="B3" s="10" t="n">
        <v>200</v>
      </c>
      <c r="C3" s="10" t="n">
        <v>1</v>
      </c>
      <c r="D3" s="10" t="inlineStr">
        <is>
          <t>AIAdPlacer 是什么？多 Agent 协同社区媒体 AI 投放系统 - duckwolf.cn</t>
        </is>
      </c>
      <c r="E3" s="10" t="n">
        <v>51</v>
      </c>
      <c r="F3" s="10" t="n">
        <v>109</v>
      </c>
      <c r="G3" s="10" t="inlineStr">
        <is>
          <t>AIAdPlacer 是什么？多 Agent 协同的社区媒体 AI 投放系统</t>
        </is>
      </c>
      <c r="H3" s="10" t="n">
        <v>1</v>
      </c>
      <c r="I3" s="10" t="n">
        <v>219</v>
      </c>
      <c r="J3" s="10" t="n">
        <v>2</v>
      </c>
      <c r="K3" s="10" t="n">
        <v>10</v>
      </c>
      <c r="L3" s="10" t="n">
        <v>0</v>
      </c>
      <c r="M3" s="10" t="n">
        <v>0</v>
      </c>
      <c r="N3" s="10" t="inlineStr">
        <is>
          <t>yes</t>
        </is>
      </c>
      <c r="O3" s="10" t="inlineStr">
        <is>
          <t>no</t>
        </is>
      </c>
      <c r="P3" s="10" t="inlineStr">
        <is>
          <t>http://duckwolf.cn/aiadplacer.html</t>
        </is>
      </c>
      <c r="Q3" s="10" t="inlineStr">
        <is>
          <t>Article, Offer, SoftwareApplication</t>
        </is>
      </c>
      <c r="R3" s="10" t="n">
        <v>2584</v>
      </c>
      <c r="S3" s="10" t="n">
        <v>13</v>
      </c>
      <c r="T3" s="10" t="inlineStr">
        <is>
          <t>no</t>
        </is>
      </c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</row>
    <row r="4">
      <c r="A4" s="13" t="inlineStr">
        <is>
          <t>https://duckwolf.cn/brandcn.html</t>
        </is>
      </c>
      <c r="B4" s="10" t="n">
        <v>200</v>
      </c>
      <c r="C4" s="10" t="n">
        <v>1</v>
      </c>
      <c r="D4" s="10" t="inlineStr">
        <is>
          <t>亲邻传媒 · pDOOH 程序化社区户外媒体平台 — 覆盖230+城市、45万+媒体资源</t>
        </is>
      </c>
      <c r="E4" s="10" t="n">
        <v>44</v>
      </c>
      <c r="F4" s="10" t="n">
        <v>129</v>
      </c>
      <c r="G4" s="10" t="inlineStr">
        <is>
          <t>让品牌抵达 “离家最后1米” 的社区场景</t>
        </is>
      </c>
      <c r="H4" s="10" t="n">
        <v>1</v>
      </c>
      <c r="I4" s="10" t="n">
        <v>187</v>
      </c>
      <c r="J4" s="10" t="n">
        <v>1</v>
      </c>
      <c r="K4" s="10" t="n">
        <v>2</v>
      </c>
      <c r="L4" s="10" t="n">
        <v>0</v>
      </c>
      <c r="M4" s="10" t="n">
        <v>0</v>
      </c>
      <c r="N4" s="10" t="inlineStr">
        <is>
          <t>yes</t>
        </is>
      </c>
      <c r="O4" s="10" t="inlineStr">
        <is>
          <t>no</t>
        </is>
      </c>
      <c r="P4" s="10" t="inlineStr">
        <is>
          <t>http://duckwolf.cn/brandcn.html</t>
        </is>
      </c>
      <c r="Q4" s="10" t="inlineStr">
        <is>
          <t>Organization</t>
        </is>
      </c>
      <c r="R4" s="10" t="n">
        <v>1146</v>
      </c>
      <c r="S4" s="10" t="n">
        <v>14</v>
      </c>
      <c r="T4" s="10" t="inlineStr">
        <is>
          <t>no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</row>
    <row r="5">
      <c r="A5" s="13" t="inlineStr">
        <is>
          <t>https://duckwolf.cn/claw.html</t>
        </is>
      </c>
      <c r="B5" s="10" t="n">
        <v>200</v>
      </c>
      <c r="C5" s="10" t="n">
        <v>1</v>
      </c>
      <c r="D5" s="10" t="inlineStr">
        <is>
          <t>AI AD OPTION // WEB4</t>
        </is>
      </c>
      <c r="E5" s="10" t="n">
        <v>20</v>
      </c>
      <c r="F5" s="10" t="n">
        <v>0</v>
      </c>
      <c r="G5" s="10" t="inlineStr"/>
      <c r="H5" s="10" t="n">
        <v>0</v>
      </c>
      <c r="I5" s="10" t="n">
        <v>19</v>
      </c>
      <c r="J5" s="10" t="n">
        <v>1</v>
      </c>
      <c r="K5" s="10" t="n">
        <v>0</v>
      </c>
      <c r="L5" s="10" t="n">
        <v>0</v>
      </c>
      <c r="M5" s="10" t="n">
        <v>0</v>
      </c>
      <c r="N5" s="10" t="inlineStr">
        <is>
          <t>yes</t>
        </is>
      </c>
      <c r="O5" s="10" t="inlineStr">
        <is>
          <t>no</t>
        </is>
      </c>
      <c r="P5" s="10" t="n"/>
      <c r="Q5" s="10" t="inlineStr"/>
      <c r="R5" s="10" t="n">
        <v>2758</v>
      </c>
      <c r="S5" s="10" t="n">
        <v>34</v>
      </c>
      <c r="T5" s="10" t="inlineStr">
        <is>
          <t>no</t>
        </is>
      </c>
      <c r="U5" s="10" t="inlineStr">
        <is>
          <t>other</t>
        </is>
      </c>
      <c r="V5" s="10" t="inlineStr">
        <is>
          <t>unclear</t>
        </is>
      </c>
      <c r="W5" s="14" t="n">
        <v>0.256</v>
      </c>
      <c r="X5" s="10" t="inlineStr">
        <is>
          <t>merge or remove</t>
        </is>
      </c>
      <c r="Y5" s="14" t="n">
        <v>0.0779</v>
      </c>
      <c r="Z5" s="14" t="n">
        <v>0.8565</v>
      </c>
      <c r="AA5" s="14" t="n">
        <v>0.8683</v>
      </c>
      <c r="AB5" s="14" t="n">
        <v>0.2405</v>
      </c>
      <c r="AC5" s="14" t="n">
        <v>0.1401611864566803</v>
      </c>
      <c r="AD5" s="14" t="n">
        <v>0.2659</v>
      </c>
      <c r="AE5" s="10" t="n"/>
      <c r="AF5" s="14" t="n">
        <v>0.01307737920433283</v>
      </c>
    </row>
    <row r="6">
      <c r="A6" s="13" t="inlineStr">
        <is>
          <t>https://duckwolf.cn/pdooh.html</t>
        </is>
      </c>
      <c r="B6" s="10" t="n">
        <v>200</v>
      </c>
      <c r="C6" s="10" t="n">
        <v>1</v>
      </c>
      <c r="D6" s="10" t="inlineStr">
        <is>
          <t>AI pDOOH 可信ID增强平台 — 架构方案</t>
        </is>
      </c>
      <c r="E6" s="10" t="n">
        <v>24</v>
      </c>
      <c r="F6" s="10" t="n">
        <v>0</v>
      </c>
      <c r="G6" s="10" t="inlineStr">
        <is>
          <t>AI pDOOH 可信ID增强平台</t>
        </is>
      </c>
      <c r="H6" s="10" t="n">
        <v>1</v>
      </c>
      <c r="I6" s="10" t="n">
        <v>610</v>
      </c>
      <c r="J6" s="10" t="n">
        <v>1</v>
      </c>
      <c r="K6" s="10" t="n">
        <v>0</v>
      </c>
      <c r="L6" s="10" t="n">
        <v>0</v>
      </c>
      <c r="M6" s="10" t="n">
        <v>0</v>
      </c>
      <c r="N6" s="10" t="inlineStr">
        <is>
          <t>yes</t>
        </is>
      </c>
      <c r="O6" s="10" t="inlineStr">
        <is>
          <t>no</t>
        </is>
      </c>
      <c r="P6" s="10" t="n"/>
      <c r="Q6" s="10" t="inlineStr"/>
      <c r="R6" s="10" t="n">
        <v>2806</v>
      </c>
      <c r="S6" s="10" t="n">
        <v>25</v>
      </c>
      <c r="T6" s="10" t="inlineStr">
        <is>
          <t>no</t>
        </is>
      </c>
      <c r="U6" s="10" t="inlineStr">
        <is>
          <t>homepage</t>
        </is>
      </c>
      <c r="V6" s="10" t="inlineStr">
        <is>
          <t>navigational</t>
        </is>
      </c>
      <c r="W6" s="14" t="n">
        <v>0.6272</v>
      </c>
      <c r="X6" s="10" t="inlineStr">
        <is>
          <t>rewrite</t>
        </is>
      </c>
      <c r="Y6" s="14" t="n">
        <v>0.5691000000000001</v>
      </c>
      <c r="Z6" s="14" t="n">
        <v>0.5342</v>
      </c>
      <c r="AA6" s="14" t="n">
        <v>0.4436</v>
      </c>
      <c r="AB6" s="14" t="n">
        <v>0.531</v>
      </c>
      <c r="AC6" s="14" t="n">
        <v>0.9994</v>
      </c>
      <c r="AD6" s="14" t="n">
        <v>0.754</v>
      </c>
      <c r="AE6" s="10" t="n"/>
      <c r="AF6" s="14" t="n">
        <v>0.9994</v>
      </c>
    </row>
    <row r="7">
      <c r="A7" s="13" t="inlineStr">
        <is>
          <t>https://duckwolf.cn/q.html</t>
        </is>
      </c>
      <c r="B7" s="10" t="n">
        <v>200</v>
      </c>
      <c r="C7" s="10" t="n">
        <v>1</v>
      </c>
      <c r="D7" s="10" t="inlineStr">
        <is>
          <t>日期计算</t>
        </is>
      </c>
      <c r="E7" s="10" t="n">
        <v>4</v>
      </c>
      <c r="F7" s="10" t="n">
        <v>0</v>
      </c>
      <c r="G7" s="10" t="inlineStr">
        <is>
          <t>重要日子提醒</t>
        </is>
      </c>
      <c r="H7" s="10" t="n">
        <v>1</v>
      </c>
      <c r="I7" s="10" t="n">
        <v>30</v>
      </c>
      <c r="J7" s="10" t="n">
        <v>1</v>
      </c>
      <c r="K7" s="10" t="n">
        <v>0</v>
      </c>
      <c r="L7" s="10" t="n">
        <v>0</v>
      </c>
      <c r="M7" s="10" t="n">
        <v>0</v>
      </c>
      <c r="N7" s="10" t="inlineStr">
        <is>
          <t>yes</t>
        </is>
      </c>
      <c r="O7" s="10" t="inlineStr">
        <is>
          <t>no</t>
        </is>
      </c>
      <c r="P7" s="10" t="n"/>
      <c r="Q7" s="10" t="inlineStr"/>
      <c r="R7" s="10" t="n">
        <v>610</v>
      </c>
      <c r="S7" s="10" t="n">
        <v>10</v>
      </c>
      <c r="T7" s="10" t="inlineStr">
        <is>
          <t>no</t>
        </is>
      </c>
      <c r="U7" s="10" t="inlineStr">
        <is>
          <t>other</t>
        </is>
      </c>
      <c r="V7" s="10" t="inlineStr">
        <is>
          <t>informational</t>
        </is>
      </c>
      <c r="W7" s="14" t="n">
        <v>0.0389</v>
      </c>
      <c r="X7" s="10" t="inlineStr">
        <is>
          <t>merge or remove</t>
        </is>
      </c>
      <c r="Y7" s="14" t="n">
        <v>0.2903</v>
      </c>
      <c r="Z7" s="14" t="n">
        <v>0.5827</v>
      </c>
      <c r="AA7" s="14" t="n">
        <v>0.7355</v>
      </c>
      <c r="AB7" s="14" t="n">
        <v>0.7909</v>
      </c>
      <c r="AC7" s="14" t="n">
        <v>0.4951938688755035</v>
      </c>
      <c r="AD7" s="14" t="n">
        <v>0.3689</v>
      </c>
      <c r="AE7" s="10" t="n"/>
      <c r="AF7" s="14" t="n">
        <v>0.01377336960285902</v>
      </c>
    </row>
    <row r="8">
      <c r="A8" s="13" t="inlineStr">
        <is>
          <t>https://duckwolf.cn/wifi.html</t>
        </is>
      </c>
      <c r="B8" s="10" t="n">
        <v>200</v>
      </c>
      <c r="C8" s="10" t="n">
        <v>1</v>
      </c>
      <c r="D8" s="10" t="inlineStr">
        <is>
          <t>智能家庭守护者 - 交互式商业计划书</t>
        </is>
      </c>
      <c r="E8" s="10" t="n">
        <v>18</v>
      </c>
      <c r="F8" s="10" t="n">
        <v>0</v>
      </c>
      <c r="G8" s="10" t="inlineStr">
        <is>
          <t>用Wi-Fi感知爱，守护家的每一刻</t>
        </is>
      </c>
      <c r="H8" s="10" t="n">
        <v>1</v>
      </c>
      <c r="I8" s="10" t="n">
        <v>134</v>
      </c>
      <c r="J8" s="10" t="n">
        <v>1</v>
      </c>
      <c r="K8" s="10" t="n">
        <v>0</v>
      </c>
      <c r="L8" s="10" t="n">
        <v>0</v>
      </c>
      <c r="M8" s="10" t="n">
        <v>0</v>
      </c>
      <c r="N8" s="10" t="inlineStr">
        <is>
          <t>yes</t>
        </is>
      </c>
      <c r="O8" s="10" t="inlineStr">
        <is>
          <t>no</t>
        </is>
      </c>
      <c r="P8" s="10" t="n"/>
      <c r="Q8" s="10" t="inlineStr"/>
      <c r="R8" s="10" t="n">
        <v>1299</v>
      </c>
      <c r="S8" s="10" t="n">
        <v>29</v>
      </c>
      <c r="T8" s="10" t="inlineStr">
        <is>
          <t>no</t>
        </is>
      </c>
      <c r="U8" s="10" t="inlineStr">
        <is>
          <t>homepage</t>
        </is>
      </c>
      <c r="V8" s="10" t="inlineStr">
        <is>
          <t>navigational</t>
        </is>
      </c>
      <c r="W8" s="14" t="n">
        <v>0.6296</v>
      </c>
      <c r="X8" s="10" t="inlineStr">
        <is>
          <t>rewrite</t>
        </is>
      </c>
      <c r="Y8" s="14" t="n">
        <v>0.4764</v>
      </c>
      <c r="Z8" s="14" t="n">
        <v>0.4606</v>
      </c>
      <c r="AA8" s="14" t="n">
        <v>0.3985</v>
      </c>
      <c r="AB8" s="14" t="n">
        <v>0.4927</v>
      </c>
      <c r="AC8" s="14" t="n">
        <v>0.9999</v>
      </c>
      <c r="AD8" s="14" t="n">
        <v>0.507</v>
      </c>
      <c r="AE8" s="10" t="n"/>
      <c r="AF8" s="14" t="n">
        <v>0.9998</v>
      </c>
    </row>
  </sheetData>
  <autoFilter ref="A1:AF8"/>
  <conditionalFormatting sqref="Y2:AF8">
    <cfRule type="colorScale" priority="1">
      <colorScale>
        <cfvo type="num" val="0"/>
        <cfvo type="num" val="1"/>
        <color rgb="00FBEAF5"/>
        <color rgb="00A83A8C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3C2B7"/>
    <outlinePr summaryBelow="1" summaryRight="1"/>
    <pageSetUpPr/>
  </sheetPr>
  <dimension ref="A1:I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9" customWidth="1" min="3" max="3"/>
    <col width="18" customWidth="1" min="4" max="4"/>
    <col width="11" customWidth="1" min="5" max="5"/>
    <col width="12" customWidth="1" min="6" max="6"/>
    <col width="10" customWidth="1" min="7" max="7"/>
    <col width="50" customWidth="1" min="8" max="8"/>
    <col width="15" customWidth="1" min="9" max="9"/>
  </cols>
  <sheetData>
    <row r="1" ht="30" customHeight="1">
      <c r="A1" s="9" t="inlineStr">
        <is>
          <t>页面</t>
        </is>
      </c>
      <c r="B1" s="9" t="inlineStr">
        <is>
          <t>问题</t>
        </is>
      </c>
      <c r="C1" s="9" t="inlineStr">
        <is>
          <t>原语</t>
        </is>
      </c>
      <c r="D1" s="9" t="inlineStr">
        <is>
          <t>答案（0-1 或选项）</t>
        </is>
      </c>
      <c r="E1" s="9" t="inlineStr">
        <is>
          <t>置信度</t>
        </is>
      </c>
      <c r="F1" s="9" t="inlineStr">
        <is>
          <t>半侧概率（Score）</t>
        </is>
      </c>
      <c r="G1" s="9" t="inlineStr">
        <is>
          <t>判带</t>
        </is>
      </c>
      <c r="H1" s="9" t="inlineStr">
        <is>
          <t>主要概率</t>
        </is>
      </c>
      <c r="I1" s="9" t="inlineStr">
        <is>
          <t>引擎</t>
        </is>
      </c>
    </row>
    <row r="2">
      <c r="A2" s="10" t="inlineStr">
        <is>
          <t>https://duckwolf.cn/</t>
        </is>
      </c>
      <c r="B2" s="10" t="inlineStr">
        <is>
          <t>page_type</t>
        </is>
      </c>
      <c r="C2" s="10" t="inlineStr">
        <is>
          <t>choice</t>
        </is>
      </c>
      <c r="D2" s="10" t="inlineStr">
        <is>
          <t>homepage</t>
        </is>
      </c>
      <c r="E2" s="14" t="n">
        <v>1</v>
      </c>
      <c r="F2" s="14" t="n"/>
      <c r="G2" s="10" t="inlineStr">
        <is>
          <t>act</t>
        </is>
      </c>
      <c r="H2" s="10" t="inlineStr">
        <is>
          <t>homepage: 1.00</t>
        </is>
      </c>
      <c r="I2" s="10" t="inlineStr">
        <is>
          <t>code</t>
        </is>
      </c>
    </row>
    <row r="3">
      <c r="A3" s="10" t="inlineStr">
        <is>
          <t>https://duckwolf.cn/</t>
        </is>
      </c>
      <c r="B3" s="10" t="inlineStr">
        <is>
          <t>intent</t>
        </is>
      </c>
      <c r="C3" s="10" t="inlineStr">
        <is>
          <t>choice</t>
        </is>
      </c>
      <c r="D3" s="10" t="inlineStr">
        <is>
          <t>navigational</t>
        </is>
      </c>
      <c r="E3" s="14" t="n">
        <v>0.7234</v>
      </c>
      <c r="F3" s="14" t="n"/>
      <c r="G3" s="10" t="inlineStr">
        <is>
          <t>review</t>
        </is>
      </c>
      <c r="H3" s="10" t="inlineStr">
        <is>
          <t>navigational: 0.89, local: 0.06, unclear: 0.02</t>
        </is>
      </c>
      <c r="I3" s="10" t="inlineStr">
        <is>
          <t>Laya (fallback)</t>
        </is>
      </c>
    </row>
    <row r="4">
      <c r="A4" s="10" t="inlineStr">
        <is>
          <t>https://duckwolf.cn/</t>
        </is>
      </c>
      <c r="B4" s="10" t="inlineStr">
        <is>
          <t>importance</t>
        </is>
      </c>
      <c r="C4" s="10" t="inlineStr">
        <is>
          <t>score</t>
        </is>
      </c>
      <c r="D4" s="10" t="n">
        <v>0.64</v>
      </c>
      <c r="E4" s="14" t="n">
        <v>0.7649</v>
      </c>
      <c r="F4" s="14" t="n">
        <v>0.7649</v>
      </c>
      <c r="G4" s="10" t="inlineStr">
        <is>
          <t>review</t>
        </is>
      </c>
      <c r="H4" s="10" t="inlineStr">
        <is>
          <t>2: 0.58, 1: 0.20, 3: 0.19</t>
        </is>
      </c>
      <c r="I4" s="10" t="inlineStr">
        <is>
          <t>Laya (fallback)</t>
        </is>
      </c>
    </row>
    <row r="5">
      <c r="A5" s="10" t="inlineStr">
        <is>
          <t>https://duckwolf.cn/</t>
        </is>
      </c>
      <c r="B5" s="10" t="inlineStr">
        <is>
          <t>action</t>
        </is>
      </c>
      <c r="C5" s="10" t="inlineStr">
        <is>
          <t>choice</t>
        </is>
      </c>
      <c r="D5" s="10" t="inlineStr">
        <is>
          <t>rewrite</t>
        </is>
      </c>
      <c r="E5" s="14" t="n">
        <v>0.3903</v>
      </c>
      <c r="F5" s="14" t="n"/>
      <c r="G5" s="10" t="inlineStr">
        <is>
          <t>review</t>
        </is>
      </c>
      <c r="H5" s="10" t="inlineStr">
        <is>
          <t>rewrite: 0.78, merge_or_remove: 0.12, keep_or_improve: 0.10</t>
        </is>
      </c>
      <c r="I5" s="10" t="inlineStr">
        <is>
          <t>Laya (fallback)</t>
        </is>
      </c>
    </row>
    <row r="6">
      <c r="A6" s="10" t="inlineStr">
        <is>
          <t>https://duckwolf.cn/</t>
        </is>
      </c>
      <c r="B6" s="10" t="inlineStr">
        <is>
          <t>helpfulness</t>
        </is>
      </c>
      <c r="C6" s="10" t="inlineStr">
        <is>
          <t>score</t>
        </is>
      </c>
      <c r="D6" s="10" t="n">
        <v>0.472</v>
      </c>
      <c r="E6" s="14" t="n">
        <v>0.6447000000000001</v>
      </c>
      <c r="F6" s="14" t="n">
        <v>0.6447000000000001</v>
      </c>
      <c r="G6" s="10" t="inlineStr">
        <is>
          <t>review</t>
        </is>
      </c>
      <c r="H6" s="10" t="inlineStr">
        <is>
          <t>1: 0.58, 2: 0.23, 3: 0.13</t>
        </is>
      </c>
      <c r="I6" s="10" t="inlineStr">
        <is>
          <t>Laya (fallback)</t>
        </is>
      </c>
    </row>
    <row r="7">
      <c r="A7" s="10" t="inlineStr">
        <is>
          <t>https://duckwolf.cn/</t>
        </is>
      </c>
      <c r="B7" s="10" t="inlineStr">
        <is>
          <t>specificity</t>
        </is>
      </c>
      <c r="C7" s="10" t="inlineStr">
        <is>
          <t>score</t>
        </is>
      </c>
      <c r="D7" s="10" t="n">
        <v>0.572</v>
      </c>
      <c r="E7" s="14" t="n">
        <v>0.6823</v>
      </c>
      <c r="F7" s="14" t="n">
        <v>0.6823</v>
      </c>
      <c r="G7" s="10" t="inlineStr">
        <is>
          <t>review</t>
        </is>
      </c>
      <c r="H7" s="10" t="inlineStr">
        <is>
          <t>2: 0.63, 1: 0.30, 3: 0.05</t>
        </is>
      </c>
      <c r="I7" s="10" t="inlineStr">
        <is>
          <t>Laya (fallback)</t>
        </is>
      </c>
    </row>
    <row r="8">
      <c r="A8" s="10" t="inlineStr">
        <is>
          <t>https://duckwolf.cn/</t>
        </is>
      </c>
      <c r="B8" s="10" t="inlineStr">
        <is>
          <t>answer_first</t>
        </is>
      </c>
      <c r="C8" s="10" t="inlineStr">
        <is>
          <t>noul</t>
        </is>
      </c>
      <c r="D8" s="10" t="n">
        <v>0.983</v>
      </c>
      <c r="E8" s="14" t="n">
        <v>0.966</v>
      </c>
      <c r="F8" s="14" t="n"/>
      <c r="G8" s="10" t="inlineStr">
        <is>
          <t>yes</t>
        </is>
      </c>
      <c r="H8" s="10" t="inlineStr"/>
      <c r="I8" s="10" t="inlineStr">
        <is>
          <t>Laya (fallback)</t>
        </is>
      </c>
    </row>
    <row r="9">
      <c r="A9" s="10" t="inlineStr">
        <is>
          <t>https://duckwolf.cn/</t>
        </is>
      </c>
      <c r="B9" s="10" t="inlineStr">
        <is>
          <t>citable</t>
        </is>
      </c>
      <c r="C9" s="10" t="inlineStr">
        <is>
          <t>score</t>
        </is>
      </c>
      <c r="D9" s="10" t="n">
        <v>0.52</v>
      </c>
      <c r="E9" s="14" t="n">
        <v>0.6165</v>
      </c>
      <c r="F9" s="14" t="n">
        <v>0.6165</v>
      </c>
      <c r="G9" s="10" t="inlineStr">
        <is>
          <t>review</t>
        </is>
      </c>
      <c r="H9" s="10" t="inlineStr">
        <is>
          <t>1: 0.61, 2: 0.20, 3: 0.18</t>
        </is>
      </c>
      <c r="I9" s="10" t="inlineStr">
        <is>
          <t>Laya (fallback)</t>
        </is>
      </c>
    </row>
    <row r="10">
      <c r="A10" s="10" t="inlineStr">
        <is>
          <t>https://duckwolf.cn/</t>
        </is>
      </c>
      <c r="B10" s="10" t="inlineStr">
        <is>
          <t>trust</t>
        </is>
      </c>
      <c r="C10" s="10" t="inlineStr">
        <is>
          <t>score</t>
        </is>
      </c>
      <c r="D10" s="10" t="n">
        <v>0.322</v>
      </c>
      <c r="E10" s="14" t="n">
        <v>0.8247</v>
      </c>
      <c r="F10" s="14" t="n">
        <v>0.8247</v>
      </c>
      <c r="G10" s="10" t="inlineStr">
        <is>
          <t>act</t>
        </is>
      </c>
      <c r="H10" s="10" t="inlineStr">
        <is>
          <t>1: 0.60, 0: 0.23, 2: 0.16</t>
        </is>
      </c>
      <c r="I10" s="10" t="inlineStr">
        <is>
          <t>Laya (fallback)</t>
        </is>
      </c>
    </row>
    <row r="11">
      <c r="A11" s="10" t="inlineStr">
        <is>
          <t>https://duckwolf.cn/</t>
        </is>
      </c>
      <c r="B11" s="10" t="inlineStr">
        <is>
          <t>clear_next_step</t>
        </is>
      </c>
      <c r="C11" s="10" t="inlineStr">
        <is>
          <t>noul</t>
        </is>
      </c>
      <c r="D11" s="10" t="n">
        <v>0.989</v>
      </c>
      <c r="E11" s="14" t="n">
        <v>0.9782</v>
      </c>
      <c r="F11" s="14" t="n"/>
      <c r="G11" s="10" t="inlineStr">
        <is>
          <t>yes</t>
        </is>
      </c>
      <c r="H11" s="10" t="inlineStr"/>
      <c r="I11" s="10" t="inlineStr">
        <is>
          <t>Laya (fallback)</t>
        </is>
      </c>
    </row>
    <row r="12">
      <c r="A12" s="10" t="inlineStr">
        <is>
          <t>https://duckwolf.cn/</t>
        </is>
      </c>
      <c r="B12" s="10" t="inlineStr">
        <is>
          <t>title_fit</t>
        </is>
      </c>
      <c r="C12" s="10" t="inlineStr">
        <is>
          <t>score</t>
        </is>
      </c>
      <c r="D12" s="10" t="n">
        <v>0.487</v>
      </c>
      <c r="E12" s="14" t="n">
        <v>0.6209</v>
      </c>
      <c r="F12" s="14" t="n">
        <v>0.6209</v>
      </c>
      <c r="G12" s="10" t="inlineStr">
        <is>
          <t>review</t>
        </is>
      </c>
      <c r="H12" s="10" t="inlineStr">
        <is>
          <t>1: 0.48, 3: 0.22, 2: 0.16</t>
        </is>
      </c>
      <c r="I12" s="10" t="inlineStr">
        <is>
          <t>Laya (fallback)</t>
        </is>
      </c>
    </row>
    <row r="13">
      <c r="A13" s="10" t="inlineStr">
        <is>
          <t>https://duckwolf.cn/</t>
        </is>
      </c>
      <c r="B13" s="10" t="inlineStr">
        <is>
          <t>meta_fit</t>
        </is>
      </c>
      <c r="C13" s="10" t="inlineStr">
        <is>
          <t>score</t>
        </is>
      </c>
      <c r="D13" s="10" t="n">
        <v>0.275</v>
      </c>
      <c r="E13" s="14" t="n">
        <v>0.8292</v>
      </c>
      <c r="F13" s="14" t="n">
        <v>0.8292</v>
      </c>
      <c r="G13" s="10" t="inlineStr">
        <is>
          <t>act</t>
        </is>
      </c>
      <c r="H13" s="10" t="inlineStr">
        <is>
          <t>1: 0.43, 0: 0.40, 2: 0.11</t>
        </is>
      </c>
      <c r="I13" s="10" t="inlineStr">
        <is>
          <t>Laya (fallback)</t>
        </is>
      </c>
    </row>
    <row r="14">
      <c r="A14" s="10" t="inlineStr">
        <is>
          <t>https://duckwolf.cn/q.html</t>
        </is>
      </c>
      <c r="B14" s="10" t="inlineStr">
        <is>
          <t>page_type</t>
        </is>
      </c>
      <c r="C14" s="10" t="inlineStr">
        <is>
          <t>choice</t>
        </is>
      </c>
      <c r="D14" s="10" t="inlineStr">
        <is>
          <t>other</t>
        </is>
      </c>
      <c r="E14" s="14" t="n">
        <v>0.9372526407241821</v>
      </c>
      <c r="F14" s="14" t="n"/>
      <c r="G14" s="10" t="inlineStr">
        <is>
          <t>act</t>
        </is>
      </c>
      <c r="H14" s="10" t="inlineStr">
        <is>
          <t>other: 0.94, article_or_guide: 0.02, product_or_service: 0.02</t>
        </is>
      </c>
      <c r="I14" s="10" t="inlineStr">
        <is>
          <t>Jev cloud</t>
        </is>
      </c>
    </row>
    <row r="15">
      <c r="A15" s="10" t="inlineStr">
        <is>
          <t>https://duckwolf.cn/q.html</t>
        </is>
      </c>
      <c r="B15" s="10" t="inlineStr">
        <is>
          <t>intent</t>
        </is>
      </c>
      <c r="C15" s="10" t="inlineStr">
        <is>
          <t>choice</t>
        </is>
      </c>
      <c r="D15" s="10" t="inlineStr">
        <is>
          <t>informational</t>
        </is>
      </c>
      <c r="E15" s="14" t="n">
        <v>0.7707502245903015</v>
      </c>
      <c r="F15" s="14" t="n"/>
      <c r="G15" s="10" t="inlineStr">
        <is>
          <t>review</t>
        </is>
      </c>
      <c r="H15" s="10" t="inlineStr">
        <is>
          <t>informational: 0.77, unclear: 0.21, navigational: 0.02</t>
        </is>
      </c>
      <c r="I15" s="10" t="inlineStr">
        <is>
          <t>Jev cloud</t>
        </is>
      </c>
    </row>
    <row r="16">
      <c r="A16" s="10" t="inlineStr">
        <is>
          <t>https://duckwolf.cn/q.html</t>
        </is>
      </c>
      <c r="B16" s="10" t="inlineStr">
        <is>
          <t>importance</t>
        </is>
      </c>
      <c r="C16" s="10" t="inlineStr">
        <is>
          <t>score</t>
        </is>
      </c>
      <c r="D16" s="10" t="n">
        <v>0.039</v>
      </c>
      <c r="E16" s="14" t="n">
        <v>0.8948712348937988</v>
      </c>
      <c r="F16" s="14" t="n">
        <v>0.9919</v>
      </c>
      <c r="G16" s="10" t="inlineStr">
        <is>
          <t>act</t>
        </is>
      </c>
      <c r="H16" s="10" t="inlineStr">
        <is>
          <t>0: 0.89, 1: 0.10, 2: 0.00</t>
        </is>
      </c>
      <c r="I16" s="10" t="inlineStr">
        <is>
          <t>Jev cloud</t>
        </is>
      </c>
    </row>
    <row r="17">
      <c r="A17" s="10" t="inlineStr">
        <is>
          <t>https://duckwolf.cn/q.html</t>
        </is>
      </c>
      <c r="B17" s="10" t="inlineStr">
        <is>
          <t>action</t>
        </is>
      </c>
      <c r="C17" s="10" t="inlineStr">
        <is>
          <t>choice</t>
        </is>
      </c>
      <c r="D17" s="10" t="inlineStr">
        <is>
          <t>merge_or_remove</t>
        </is>
      </c>
      <c r="E17" s="14" t="n">
        <v>0.8200908899307251</v>
      </c>
      <c r="F17" s="14" t="n"/>
      <c r="G17" s="10" t="inlineStr">
        <is>
          <t>act</t>
        </is>
      </c>
      <c r="H17" s="10" t="inlineStr">
        <is>
          <t>merge_or_remove: 0.82, keep_or_improve: 0.12, rewrite: 0.06</t>
        </is>
      </c>
      <c r="I17" s="10" t="inlineStr">
        <is>
          <t>Jev cloud</t>
        </is>
      </c>
    </row>
    <row r="18">
      <c r="A18" s="10" t="inlineStr">
        <is>
          <t>https://duckwolf.cn/q.html</t>
        </is>
      </c>
      <c r="B18" s="10" t="inlineStr">
        <is>
          <t>helpfulness</t>
        </is>
      </c>
      <c r="C18" s="10" t="inlineStr">
        <is>
          <t>score</t>
        </is>
      </c>
      <c r="D18" s="10" t="n">
        <v>0.29</v>
      </c>
      <c r="E18" s="14" t="n">
        <v>0.5500476360321045</v>
      </c>
      <c r="F18" s="14" t="n">
        <v>0.8452</v>
      </c>
      <c r="G18" s="10" t="inlineStr">
        <is>
          <t>act</t>
        </is>
      </c>
      <c r="H18" s="10" t="inlineStr">
        <is>
          <t>1: 0.55, 0: 0.30, 2: 0.14</t>
        </is>
      </c>
      <c r="I18" s="10" t="inlineStr">
        <is>
          <t>Jev cloud</t>
        </is>
      </c>
    </row>
    <row r="19">
      <c r="A19" s="10" t="inlineStr">
        <is>
          <t>https://duckwolf.cn/q.html</t>
        </is>
      </c>
      <c r="B19" s="10" t="inlineStr">
        <is>
          <t>specificity</t>
        </is>
      </c>
      <c r="C19" s="10" t="inlineStr">
        <is>
          <t>score</t>
        </is>
      </c>
      <c r="D19" s="10" t="n">
        <v>0.583</v>
      </c>
      <c r="E19" s="14" t="n">
        <v>0.5662641525268555</v>
      </c>
      <c r="F19" s="14" t="n">
        <v>0.7165</v>
      </c>
      <c r="G19" s="10" t="inlineStr">
        <is>
          <t>review</t>
        </is>
      </c>
      <c r="H19" s="10" t="inlineStr">
        <is>
          <t>2: 0.57, 1: 0.16, 3: 0.15</t>
        </is>
      </c>
      <c r="I19" s="10" t="inlineStr">
        <is>
          <t>Jev cloud</t>
        </is>
      </c>
    </row>
    <row r="20">
      <c r="A20" s="10" t="inlineStr">
        <is>
          <t>https://duckwolf.cn/q.html</t>
        </is>
      </c>
      <c r="B20" s="10" t="inlineStr">
        <is>
          <t>answer_first</t>
        </is>
      </c>
      <c r="C20" s="10" t="inlineStr">
        <is>
          <t>noul</t>
        </is>
      </c>
      <c r="D20" s="10" t="n">
        <v>0.495</v>
      </c>
      <c r="E20" s="14" t="n"/>
      <c r="F20" s="14" t="n"/>
      <c r="G20" s="10" t="inlineStr">
        <is>
          <t>review</t>
        </is>
      </c>
      <c r="H20" s="10" t="inlineStr"/>
      <c r="I20" s="10" t="inlineStr">
        <is>
          <t>Jev cloud</t>
        </is>
      </c>
    </row>
    <row r="21">
      <c r="A21" s="10" t="inlineStr">
        <is>
          <t>https://duckwolf.cn/q.html</t>
        </is>
      </c>
      <c r="B21" s="10" t="inlineStr">
        <is>
          <t>citable</t>
        </is>
      </c>
      <c r="C21" s="10" t="inlineStr">
        <is>
          <t>score</t>
        </is>
      </c>
      <c r="D21" s="10" t="n">
        <v>0.791</v>
      </c>
      <c r="E21" s="14" t="n">
        <v>0.5835937857627869</v>
      </c>
      <c r="F21" s="14" t="n">
        <v>0.9798</v>
      </c>
      <c r="G21" s="10" t="inlineStr">
        <is>
          <t>act</t>
        </is>
      </c>
      <c r="H21" s="10" t="inlineStr">
        <is>
          <t>2: 0.58, 3: 0.40, 1: 0.02</t>
        </is>
      </c>
      <c r="I21" s="10" t="inlineStr">
        <is>
          <t>Jev cloud</t>
        </is>
      </c>
    </row>
    <row r="22">
      <c r="A22" s="10" t="inlineStr">
        <is>
          <t>https://duckwolf.cn/q.html</t>
        </is>
      </c>
      <c r="B22" s="10" t="inlineStr">
        <is>
          <t>trust</t>
        </is>
      </c>
      <c r="C22" s="10" t="inlineStr">
        <is>
          <t>score</t>
        </is>
      </c>
      <c r="D22" s="10" t="n">
        <v>0.736</v>
      </c>
      <c r="E22" s="14" t="n">
        <v>0.7104834914207458</v>
      </c>
      <c r="F22" s="14" t="n">
        <v>0.9592000000000001</v>
      </c>
      <c r="G22" s="10" t="inlineStr">
        <is>
          <t>act</t>
        </is>
      </c>
      <c r="H22" s="10" t="inlineStr">
        <is>
          <t>2: 0.71, 3: 0.25, 1: 0.04</t>
        </is>
      </c>
      <c r="I22" s="10" t="inlineStr">
        <is>
          <t>Jev cloud</t>
        </is>
      </c>
    </row>
    <row r="23">
      <c r="A23" s="10" t="inlineStr">
        <is>
          <t>https://duckwolf.cn/q.html</t>
        </is>
      </c>
      <c r="B23" s="10" t="inlineStr">
        <is>
          <t>clear_next_step</t>
        </is>
      </c>
      <c r="C23" s="10" t="inlineStr">
        <is>
          <t>noul</t>
        </is>
      </c>
      <c r="D23" s="10" t="n">
        <v>0.014</v>
      </c>
      <c r="E23" s="14" t="n"/>
      <c r="F23" s="14" t="n"/>
      <c r="G23" s="10" t="inlineStr">
        <is>
          <t>no</t>
        </is>
      </c>
      <c r="H23" s="10" t="inlineStr"/>
      <c r="I23" s="10" t="inlineStr">
        <is>
          <t>Jev cloud</t>
        </is>
      </c>
    </row>
    <row r="24">
      <c r="A24" s="10" t="inlineStr">
        <is>
          <t>https://duckwolf.cn/q.html</t>
        </is>
      </c>
      <c r="B24" s="10" t="inlineStr">
        <is>
          <t>title_fit</t>
        </is>
      </c>
      <c r="C24" s="10" t="inlineStr">
        <is>
          <t>score</t>
        </is>
      </c>
      <c r="D24" s="10" t="n">
        <v>0.369</v>
      </c>
      <c r="E24" s="14" t="n">
        <v>0.5475702285766602</v>
      </c>
      <c r="F24" s="14" t="n">
        <v>0.7252999999999999</v>
      </c>
      <c r="G24" s="10" t="inlineStr">
        <is>
          <t>review</t>
        </is>
      </c>
      <c r="H24" s="10" t="inlineStr">
        <is>
          <t>1: 0.55, 2: 0.27, 0: 0.18</t>
        </is>
      </c>
      <c r="I24" s="10" t="inlineStr">
        <is>
          <t>Jev cloud</t>
        </is>
      </c>
    </row>
    <row r="25">
      <c r="A25" s="10" t="inlineStr">
        <is>
          <t>https://duckwolf.cn/q.html</t>
        </is>
      </c>
      <c r="B25" s="10" t="inlineStr">
        <is>
          <t>h1_fit</t>
        </is>
      </c>
      <c r="C25" s="10" t="inlineStr">
        <is>
          <t>noul</t>
        </is>
      </c>
      <c r="D25" s="10" t="n">
        <v>0.697</v>
      </c>
      <c r="E25" s="14" t="n"/>
      <c r="F25" s="14" t="n"/>
      <c r="G25" s="10" t="inlineStr">
        <is>
          <t>review</t>
        </is>
      </c>
      <c r="H25" s="10" t="inlineStr"/>
      <c r="I25" s="10" t="inlineStr">
        <is>
          <t>Jev cloud</t>
        </is>
      </c>
    </row>
    <row r="26">
      <c r="A26" s="10" t="inlineStr">
        <is>
          <t>https://duckwolf.cn/claw.html</t>
        </is>
      </c>
      <c r="B26" s="10" t="inlineStr">
        <is>
          <t>page_type</t>
        </is>
      </c>
      <c r="C26" s="10" t="inlineStr">
        <is>
          <t>choice</t>
        </is>
      </c>
      <c r="D26" s="10" t="inlineStr">
        <is>
          <t>other</t>
        </is>
      </c>
      <c r="E26" s="14" t="n">
        <v>0.7532747983932495</v>
      </c>
      <c r="F26" s="14" t="n"/>
      <c r="G26" s="10" t="inlineStr">
        <is>
          <t>review</t>
        </is>
      </c>
      <c r="H26" s="10" t="inlineStr">
        <is>
          <t>other: 0.75, category_or_listing: 0.09, homepage: 0.09</t>
        </is>
      </c>
      <c r="I26" s="10" t="inlineStr">
        <is>
          <t>Jev cloud</t>
        </is>
      </c>
    </row>
    <row r="27">
      <c r="A27" s="10" t="inlineStr">
        <is>
          <t>https://duckwolf.cn/claw.html</t>
        </is>
      </c>
      <c r="B27" s="10" t="inlineStr">
        <is>
          <t>intent</t>
        </is>
      </c>
      <c r="C27" s="10" t="inlineStr">
        <is>
          <t>choice</t>
        </is>
      </c>
      <c r="D27" s="10" t="inlineStr">
        <is>
          <t>unclear</t>
        </is>
      </c>
      <c r="E27" s="14" t="n">
        <v>0.6448141932487488</v>
      </c>
      <c r="F27" s="14" t="n"/>
      <c r="G27" s="10" t="inlineStr">
        <is>
          <t>review</t>
        </is>
      </c>
      <c r="H27" s="10" t="inlineStr">
        <is>
          <t>unclear: 0.64, navigational: 0.27, informational: 0.07</t>
        </is>
      </c>
      <c r="I27" s="10" t="inlineStr">
        <is>
          <t>Jev cloud</t>
        </is>
      </c>
    </row>
    <row r="28">
      <c r="A28" s="10" t="inlineStr">
        <is>
          <t>https://duckwolf.cn/claw.html</t>
        </is>
      </c>
      <c r="B28" s="10" t="inlineStr">
        <is>
          <t>importance</t>
        </is>
      </c>
      <c r="C28" s="10" t="inlineStr">
        <is>
          <t>score</t>
        </is>
      </c>
      <c r="D28" s="10" t="n">
        <v>0.256</v>
      </c>
      <c r="E28" s="14" t="n">
        <v>0.5327609777450562</v>
      </c>
      <c r="F28" s="14" t="n">
        <v>0.9079</v>
      </c>
      <c r="G28" s="10" t="inlineStr">
        <is>
          <t>act</t>
        </is>
      </c>
      <c r="H28" s="10" t="inlineStr">
        <is>
          <t>1: 0.53, 0: 0.38, 3: 0.05</t>
        </is>
      </c>
      <c r="I28" s="10" t="inlineStr">
        <is>
          <t>Jev cloud</t>
        </is>
      </c>
    </row>
    <row r="29">
      <c r="A29" s="10" t="inlineStr">
        <is>
          <t>https://duckwolf.cn/claw.html</t>
        </is>
      </c>
      <c r="B29" s="10" t="inlineStr">
        <is>
          <t>action</t>
        </is>
      </c>
      <c r="C29" s="10" t="inlineStr">
        <is>
          <t>choice</t>
        </is>
      </c>
      <c r="D29" s="10" t="inlineStr">
        <is>
          <t>merge_or_remove</t>
        </is>
      </c>
      <c r="E29" s="14" t="n">
        <v>0.9632174968719482</v>
      </c>
      <c r="F29" s="14" t="n"/>
      <c r="G29" s="10" t="inlineStr">
        <is>
          <t>act</t>
        </is>
      </c>
      <c r="H29" s="10" t="inlineStr">
        <is>
          <t>merge_or_remove: 0.96, rewrite: 0.02, keep_or_improve: 0.01</t>
        </is>
      </c>
      <c r="I29" s="10" t="inlineStr">
        <is>
          <t>Jev cloud</t>
        </is>
      </c>
    </row>
    <row r="30">
      <c r="A30" s="10" t="inlineStr">
        <is>
          <t>https://duckwolf.cn/claw.html</t>
        </is>
      </c>
      <c r="B30" s="10" t="inlineStr">
        <is>
          <t>helpfulness</t>
        </is>
      </c>
      <c r="C30" s="10" t="inlineStr">
        <is>
          <t>score</t>
        </is>
      </c>
      <c r="D30" s="10" t="n">
        <v>0.078</v>
      </c>
      <c r="E30" s="14" t="n">
        <v>0.7713114023208618</v>
      </c>
      <c r="F30" s="14" t="n">
        <v>0.9957</v>
      </c>
      <c r="G30" s="10" t="inlineStr">
        <is>
          <t>act</t>
        </is>
      </c>
      <c r="H30" s="10" t="inlineStr">
        <is>
          <t>0: 0.77, 1: 0.22, 2: 0.00</t>
        </is>
      </c>
      <c r="I30" s="10" t="inlineStr">
        <is>
          <t>Jev cloud</t>
        </is>
      </c>
    </row>
    <row r="31">
      <c r="A31" s="10" t="inlineStr">
        <is>
          <t>https://duckwolf.cn/claw.html</t>
        </is>
      </c>
      <c r="B31" s="10" t="inlineStr">
        <is>
          <t>specificity</t>
        </is>
      </c>
      <c r="C31" s="10" t="inlineStr">
        <is>
          <t>score</t>
        </is>
      </c>
      <c r="D31" s="10" t="n">
        <v>0.857</v>
      </c>
      <c r="E31" s="14" t="n">
        <v>0.7176480293273926</v>
      </c>
      <c r="F31" s="14" t="n">
        <v>0.8845</v>
      </c>
      <c r="G31" s="10" t="inlineStr">
        <is>
          <t>act</t>
        </is>
      </c>
      <c r="H31" s="10" t="inlineStr">
        <is>
          <t>3: 0.72, 2: 0.17, 1: 0.08</t>
        </is>
      </c>
      <c r="I31" s="10" t="inlineStr">
        <is>
          <t>Jev cloud</t>
        </is>
      </c>
    </row>
    <row r="32">
      <c r="A32" s="10" t="inlineStr">
        <is>
          <t>https://duckwolf.cn/claw.html</t>
        </is>
      </c>
      <c r="B32" s="10" t="inlineStr">
        <is>
          <t>answer_first</t>
        </is>
      </c>
      <c r="C32" s="10" t="inlineStr">
        <is>
          <t>noul</t>
        </is>
      </c>
      <c r="D32" s="10" t="n">
        <v>0.14</v>
      </c>
      <c r="E32" s="14" t="n"/>
      <c r="F32" s="14" t="n"/>
      <c r="G32" s="10" t="inlineStr">
        <is>
          <t>no</t>
        </is>
      </c>
      <c r="H32" s="10" t="inlineStr"/>
      <c r="I32" s="10" t="inlineStr">
        <is>
          <t>Jev cloud</t>
        </is>
      </c>
    </row>
    <row r="33">
      <c r="A33" s="10" t="inlineStr">
        <is>
          <t>https://duckwolf.cn/claw.html</t>
        </is>
      </c>
      <c r="B33" s="10" t="inlineStr">
        <is>
          <t>citable</t>
        </is>
      </c>
      <c r="C33" s="10" t="inlineStr">
        <is>
          <t>score</t>
        </is>
      </c>
      <c r="D33" s="10" t="n">
        <v>0.24</v>
      </c>
      <c r="E33" s="14" t="n">
        <v>0.5957561731338501</v>
      </c>
      <c r="F33" s="14" t="n">
        <v>0.7633</v>
      </c>
      <c r="G33" s="10" t="inlineStr">
        <is>
          <t>review</t>
        </is>
      </c>
      <c r="H33" s="10" t="inlineStr">
        <is>
          <t>0: 0.60, 1: 0.17, 2: 0.16</t>
        </is>
      </c>
      <c r="I33" s="10" t="inlineStr">
        <is>
          <t>Jev cloud</t>
        </is>
      </c>
    </row>
    <row r="34">
      <c r="A34" s="10" t="inlineStr">
        <is>
          <t>https://duckwolf.cn/claw.html</t>
        </is>
      </c>
      <c r="B34" s="10" t="inlineStr">
        <is>
          <t>trust</t>
        </is>
      </c>
      <c r="C34" s="10" t="inlineStr">
        <is>
          <t>score</t>
        </is>
      </c>
      <c r="D34" s="10" t="n">
        <v>0.868</v>
      </c>
      <c r="E34" s="14" t="n">
        <v>0.6117290854454041</v>
      </c>
      <c r="F34" s="14" t="n">
        <v>0.9937</v>
      </c>
      <c r="G34" s="10" t="inlineStr">
        <is>
          <t>act</t>
        </is>
      </c>
      <c r="H34" s="10" t="inlineStr">
        <is>
          <t>3: 0.61, 2: 0.38, 1: 0.01</t>
        </is>
      </c>
      <c r="I34" s="10" t="inlineStr">
        <is>
          <t>Jev cloud</t>
        </is>
      </c>
    </row>
    <row r="35">
      <c r="A35" s="10" t="inlineStr">
        <is>
          <t>https://duckwolf.cn/claw.html</t>
        </is>
      </c>
      <c r="B35" s="10" t="inlineStr">
        <is>
          <t>clear_next_step</t>
        </is>
      </c>
      <c r="C35" s="10" t="inlineStr">
        <is>
          <t>noul</t>
        </is>
      </c>
      <c r="D35" s="10" t="n">
        <v>0.013</v>
      </c>
      <c r="E35" s="14" t="n"/>
      <c r="F35" s="14" t="n"/>
      <c r="G35" s="10" t="inlineStr">
        <is>
          <t>no</t>
        </is>
      </c>
      <c r="H35" s="10" t="inlineStr"/>
      <c r="I35" s="10" t="inlineStr">
        <is>
          <t>Jev cloud</t>
        </is>
      </c>
    </row>
    <row r="36">
      <c r="A36" s="10" t="inlineStr">
        <is>
          <t>https://duckwolf.cn/claw.html</t>
        </is>
      </c>
      <c r="B36" s="10" t="inlineStr">
        <is>
          <t>title_fit</t>
        </is>
      </c>
      <c r="C36" s="10" t="inlineStr">
        <is>
          <t>score</t>
        </is>
      </c>
      <c r="D36" s="10" t="n">
        <v>0.266</v>
      </c>
      <c r="E36" s="14" t="n">
        <v>0.7774611115455627</v>
      </c>
      <c r="F36" s="14" t="n">
        <v>0.9906</v>
      </c>
      <c r="G36" s="10" t="inlineStr">
        <is>
          <t>act</t>
        </is>
      </c>
      <c r="H36" s="10" t="inlineStr">
        <is>
          <t>1: 0.78, 0: 0.21, 2: 0.01</t>
        </is>
      </c>
      <c r="I36" s="10" t="inlineStr">
        <is>
          <t>Jev cloud</t>
        </is>
      </c>
    </row>
    <row r="37">
      <c r="A37" s="10" t="inlineStr">
        <is>
          <t>https://duckwolf.cn/pdooh.html</t>
        </is>
      </c>
      <c r="B37" s="10" t="inlineStr">
        <is>
          <t>page_type</t>
        </is>
      </c>
      <c r="C37" s="10" t="inlineStr">
        <is>
          <t>choice</t>
        </is>
      </c>
      <c r="D37" s="10" t="inlineStr">
        <is>
          <t>homepage</t>
        </is>
      </c>
      <c r="E37" s="14" t="n">
        <v>0.9999</v>
      </c>
      <c r="F37" s="14" t="n"/>
      <c r="G37" s="10" t="inlineStr">
        <is>
          <t>act</t>
        </is>
      </c>
      <c r="H37" s="10" t="inlineStr">
        <is>
          <t>homepage: 1.00, product_or_service: 0.00, category_or_listing: 0.00</t>
        </is>
      </c>
      <c r="I37" s="10" t="inlineStr">
        <is>
          <t>Laya (fallback)</t>
        </is>
      </c>
    </row>
    <row r="38">
      <c r="A38" s="10" t="inlineStr">
        <is>
          <t>https://duckwolf.cn/pdooh.html</t>
        </is>
      </c>
      <c r="B38" s="10" t="inlineStr">
        <is>
          <t>intent</t>
        </is>
      </c>
      <c r="C38" s="10" t="inlineStr">
        <is>
          <t>choice</t>
        </is>
      </c>
      <c r="D38" s="10" t="inlineStr">
        <is>
          <t>navigational</t>
        </is>
      </c>
      <c r="E38" s="14" t="n">
        <v>0.6844</v>
      </c>
      <c r="F38" s="14" t="n"/>
      <c r="G38" s="10" t="inlineStr">
        <is>
          <t>review</t>
        </is>
      </c>
      <c r="H38" s="10" t="inlineStr">
        <is>
          <t>navigational: 0.87, informational: 0.05, local: 0.04</t>
        </is>
      </c>
      <c r="I38" s="10" t="inlineStr">
        <is>
          <t>Laya (fallback)</t>
        </is>
      </c>
    </row>
    <row r="39">
      <c r="A39" s="10" t="inlineStr">
        <is>
          <t>https://duckwolf.cn/pdooh.html</t>
        </is>
      </c>
      <c r="B39" s="10" t="inlineStr">
        <is>
          <t>importance</t>
        </is>
      </c>
      <c r="C39" s="10" t="inlineStr">
        <is>
          <t>score</t>
        </is>
      </c>
      <c r="D39" s="10" t="n">
        <v>0.627</v>
      </c>
      <c r="E39" s="14" t="n">
        <v>0.7171</v>
      </c>
      <c r="F39" s="14" t="n">
        <v>0.7171</v>
      </c>
      <c r="G39" s="10" t="inlineStr">
        <is>
          <t>review</t>
        </is>
      </c>
      <c r="H39" s="10" t="inlineStr">
        <is>
          <t>2: 0.53, 1: 0.26, 3: 0.19</t>
        </is>
      </c>
      <c r="I39" s="10" t="inlineStr">
        <is>
          <t>Laya (fallback)</t>
        </is>
      </c>
    </row>
    <row r="40">
      <c r="A40" s="10" t="inlineStr">
        <is>
          <t>https://duckwolf.cn/pdooh.html</t>
        </is>
      </c>
      <c r="B40" s="10" t="inlineStr">
        <is>
          <t>action</t>
        </is>
      </c>
      <c r="C40" s="10" t="inlineStr">
        <is>
          <t>choice</t>
        </is>
      </c>
      <c r="D40" s="10" t="inlineStr">
        <is>
          <t>rewrite</t>
        </is>
      </c>
      <c r="E40" s="14" t="n">
        <v>0.0468</v>
      </c>
      <c r="F40" s="14" t="n"/>
      <c r="G40" s="10" t="inlineStr">
        <is>
          <t>review</t>
        </is>
      </c>
      <c r="H40" s="10" t="inlineStr">
        <is>
          <t>rewrite: 0.49, merge_or_remove: 0.26, keep_or_improve: 0.25</t>
        </is>
      </c>
      <c r="I40" s="10" t="inlineStr">
        <is>
          <t>Laya (fallback)</t>
        </is>
      </c>
    </row>
    <row r="41">
      <c r="A41" s="10" t="inlineStr">
        <is>
          <t>https://duckwolf.cn/pdooh.html</t>
        </is>
      </c>
      <c r="B41" s="10" t="inlineStr">
        <is>
          <t>helpfulness</t>
        </is>
      </c>
      <c r="C41" s="10" t="inlineStr">
        <is>
          <t>score</t>
        </is>
      </c>
      <c r="D41" s="10" t="n">
        <v>0.569</v>
      </c>
      <c r="E41" s="14" t="n">
        <v>0.5264</v>
      </c>
      <c r="F41" s="14" t="n">
        <v>0.5264</v>
      </c>
      <c r="G41" s="10" t="inlineStr">
        <is>
          <t>review</t>
        </is>
      </c>
      <c r="H41" s="10" t="inlineStr">
        <is>
          <t>1: 0.51, 3: 0.25, 2: 0.22</t>
        </is>
      </c>
      <c r="I41" s="10" t="inlineStr">
        <is>
          <t>Laya (fallback)</t>
        </is>
      </c>
    </row>
    <row r="42">
      <c r="A42" s="10" t="inlineStr">
        <is>
          <t>https://duckwolf.cn/pdooh.html</t>
        </is>
      </c>
      <c r="B42" s="10" t="inlineStr">
        <is>
          <t>specificity</t>
        </is>
      </c>
      <c r="C42" s="10" t="inlineStr">
        <is>
          <t>score</t>
        </is>
      </c>
      <c r="D42" s="10" t="n">
        <v>0.534</v>
      </c>
      <c r="E42" s="14" t="n">
        <v>0.5432</v>
      </c>
      <c r="F42" s="14" t="n">
        <v>0.5432</v>
      </c>
      <c r="G42" s="10" t="inlineStr">
        <is>
          <t>review</t>
        </is>
      </c>
      <c r="H42" s="10" t="inlineStr">
        <is>
          <t>2: 0.48, 1: 0.45, 3: 0.06</t>
        </is>
      </c>
      <c r="I42" s="10" t="inlineStr">
        <is>
          <t>Laya (fallback)</t>
        </is>
      </c>
    </row>
    <row r="43">
      <c r="A43" s="10" t="inlineStr">
        <is>
          <t>https://duckwolf.cn/pdooh.html</t>
        </is>
      </c>
      <c r="B43" s="10" t="inlineStr">
        <is>
          <t>answer_first</t>
        </is>
      </c>
      <c r="C43" s="10" t="inlineStr">
        <is>
          <t>noul</t>
        </is>
      </c>
      <c r="D43" s="10" t="n">
        <v>0.999</v>
      </c>
      <c r="E43" s="14" t="n">
        <v>0.9988</v>
      </c>
      <c r="F43" s="14" t="n"/>
      <c r="G43" s="10" t="inlineStr">
        <is>
          <t>yes</t>
        </is>
      </c>
      <c r="H43" s="10" t="inlineStr"/>
      <c r="I43" s="10" t="inlineStr">
        <is>
          <t>Laya (fallback)</t>
        </is>
      </c>
    </row>
    <row r="44">
      <c r="A44" s="10" t="inlineStr">
        <is>
          <t>https://duckwolf.cn/pdooh.html</t>
        </is>
      </c>
      <c r="B44" s="10" t="inlineStr">
        <is>
          <t>citable</t>
        </is>
      </c>
      <c r="C44" s="10" t="inlineStr">
        <is>
          <t>score</t>
        </is>
      </c>
      <c r="D44" s="10" t="n">
        <v>0.531</v>
      </c>
      <c r="E44" s="14" t="n">
        <v>0.5532</v>
      </c>
      <c r="F44" s="14" t="n">
        <v>0.5532</v>
      </c>
      <c r="G44" s="10" t="inlineStr">
        <is>
          <t>review</t>
        </is>
      </c>
      <c r="H44" s="10" t="inlineStr">
        <is>
          <t>1: 0.55, 2: 0.29, 3: 0.15</t>
        </is>
      </c>
      <c r="I44" s="10" t="inlineStr">
        <is>
          <t>Laya (fallback)</t>
        </is>
      </c>
    </row>
    <row r="45">
      <c r="A45" s="10" t="inlineStr">
        <is>
          <t>https://duckwolf.cn/pdooh.html</t>
        </is>
      </c>
      <c r="B45" s="10" t="inlineStr">
        <is>
          <t>trust</t>
        </is>
      </c>
      <c r="C45" s="10" t="inlineStr">
        <is>
          <t>score</t>
        </is>
      </c>
      <c r="D45" s="10" t="n">
        <v>0.444</v>
      </c>
      <c r="E45" s="14" t="n">
        <v>0.6586</v>
      </c>
      <c r="F45" s="14" t="n">
        <v>0.6586</v>
      </c>
      <c r="G45" s="10" t="inlineStr">
        <is>
          <t>review</t>
        </is>
      </c>
      <c r="H45" s="10" t="inlineStr">
        <is>
          <t>1: 0.60, 2: 0.30, 0: 0.06</t>
        </is>
      </c>
      <c r="I45" s="10" t="inlineStr">
        <is>
          <t>Laya (fallback)</t>
        </is>
      </c>
    </row>
    <row r="46">
      <c r="A46" s="10" t="inlineStr">
        <is>
          <t>https://duckwolf.cn/pdooh.html</t>
        </is>
      </c>
      <c r="B46" s="10" t="inlineStr">
        <is>
          <t>clear_next_step</t>
        </is>
      </c>
      <c r="C46" s="10" t="inlineStr">
        <is>
          <t>noul</t>
        </is>
      </c>
      <c r="D46" s="10" t="n">
        <v>0.999</v>
      </c>
      <c r="E46" s="14" t="n">
        <v>0.9988</v>
      </c>
      <c r="F46" s="14" t="n"/>
      <c r="G46" s="10" t="inlineStr">
        <is>
          <t>yes</t>
        </is>
      </c>
      <c r="H46" s="10" t="inlineStr"/>
      <c r="I46" s="10" t="inlineStr">
        <is>
          <t>Laya (fallback)</t>
        </is>
      </c>
    </row>
    <row r="47">
      <c r="A47" s="10" t="inlineStr">
        <is>
          <t>https://duckwolf.cn/pdooh.html</t>
        </is>
      </c>
      <c r="B47" s="10" t="inlineStr">
        <is>
          <t>title_fit</t>
        </is>
      </c>
      <c r="C47" s="10" t="inlineStr">
        <is>
          <t>score</t>
        </is>
      </c>
      <c r="D47" s="10" t="n">
        <v>0.754</v>
      </c>
      <c r="E47" s="14" t="n">
        <v>0.7648</v>
      </c>
      <c r="F47" s="14" t="n">
        <v>0.7648</v>
      </c>
      <c r="G47" s="10" t="inlineStr">
        <is>
          <t>review</t>
        </is>
      </c>
      <c r="H47" s="10" t="inlineStr">
        <is>
          <t>3: 0.54, 2: 0.22, 1: 0.19</t>
        </is>
      </c>
      <c r="I47" s="10" t="inlineStr">
        <is>
          <t>Laya (fallback)</t>
        </is>
      </c>
    </row>
    <row r="48">
      <c r="A48" s="10" t="inlineStr">
        <is>
          <t>https://duckwolf.cn/pdooh.html</t>
        </is>
      </c>
      <c r="B48" s="10" t="inlineStr">
        <is>
          <t>h1_fit</t>
        </is>
      </c>
      <c r="C48" s="10" t="inlineStr">
        <is>
          <t>noul</t>
        </is>
      </c>
      <c r="D48" s="10" t="n">
        <v>1</v>
      </c>
      <c r="E48" s="14" t="n">
        <v>1</v>
      </c>
      <c r="F48" s="14" t="n"/>
      <c r="G48" s="10" t="inlineStr">
        <is>
          <t>yes</t>
        </is>
      </c>
      <c r="H48" s="10" t="inlineStr"/>
      <c r="I48" s="10" t="inlineStr">
        <is>
          <t>Laya (fallback)</t>
        </is>
      </c>
    </row>
    <row r="49">
      <c r="A49" s="10" t="inlineStr">
        <is>
          <t>https://duckwolf.cn/wifi.html</t>
        </is>
      </c>
      <c r="B49" s="10" t="inlineStr">
        <is>
          <t>page_type</t>
        </is>
      </c>
      <c r="C49" s="10" t="inlineStr">
        <is>
          <t>choice</t>
        </is>
      </c>
      <c r="D49" s="10" t="inlineStr">
        <is>
          <t>homepage</t>
        </is>
      </c>
      <c r="E49" s="14" t="n">
        <v>0.9999</v>
      </c>
      <c r="F49" s="14" t="n"/>
      <c r="G49" s="10" t="inlineStr">
        <is>
          <t>act</t>
        </is>
      </c>
      <c r="H49" s="10" t="inlineStr">
        <is>
          <t>homepage: 1.00, product_or_service: 0.00, category_or_listing: 0.00</t>
        </is>
      </c>
      <c r="I49" s="10" t="inlineStr">
        <is>
          <t>Laya (fallback)</t>
        </is>
      </c>
    </row>
    <row r="50">
      <c r="A50" s="10" t="inlineStr">
        <is>
          <t>https://duckwolf.cn/wifi.html</t>
        </is>
      </c>
      <c r="B50" s="10" t="inlineStr">
        <is>
          <t>intent</t>
        </is>
      </c>
      <c r="C50" s="10" t="inlineStr">
        <is>
          <t>choice</t>
        </is>
      </c>
      <c r="D50" s="10" t="inlineStr">
        <is>
          <t>navigational</t>
        </is>
      </c>
      <c r="E50" s="14" t="n">
        <v>0.6381</v>
      </c>
      <c r="F50" s="14" t="n"/>
      <c r="G50" s="10" t="inlineStr">
        <is>
          <t>review</t>
        </is>
      </c>
      <c r="H50" s="10" t="inlineStr">
        <is>
          <t>navigational: 0.84, informational: 0.08, local: 0.04</t>
        </is>
      </c>
      <c r="I50" s="10" t="inlineStr">
        <is>
          <t>Laya (fallback)</t>
        </is>
      </c>
    </row>
    <row r="51">
      <c r="A51" s="10" t="inlineStr">
        <is>
          <t>https://duckwolf.cn/wifi.html</t>
        </is>
      </c>
      <c r="B51" s="10" t="inlineStr">
        <is>
          <t>importance</t>
        </is>
      </c>
      <c r="C51" s="10" t="inlineStr">
        <is>
          <t>score</t>
        </is>
      </c>
      <c r="D51" s="10" t="n">
        <v>0.63</v>
      </c>
      <c r="E51" s="14" t="n">
        <v>0.7346</v>
      </c>
      <c r="F51" s="14" t="n">
        <v>0.7346</v>
      </c>
      <c r="G51" s="10" t="inlineStr">
        <is>
          <t>review</t>
        </is>
      </c>
      <c r="H51" s="10" t="inlineStr">
        <is>
          <t>2: 0.56, 1: 0.25, 3: 0.17</t>
        </is>
      </c>
      <c r="I51" s="10" t="inlineStr">
        <is>
          <t>Laya (fallback)</t>
        </is>
      </c>
    </row>
    <row r="52">
      <c r="A52" s="10" t="inlineStr">
        <is>
          <t>https://duckwolf.cn/wifi.html</t>
        </is>
      </c>
      <c r="B52" s="10" t="inlineStr">
        <is>
          <t>action</t>
        </is>
      </c>
      <c r="C52" s="10" t="inlineStr">
        <is>
          <t>choice</t>
        </is>
      </c>
      <c r="D52" s="10" t="inlineStr">
        <is>
          <t>rewrite</t>
        </is>
      </c>
      <c r="E52" s="14" t="n">
        <v>0.3474</v>
      </c>
      <c r="F52" s="14" t="n"/>
      <c r="G52" s="10" t="inlineStr">
        <is>
          <t>review</t>
        </is>
      </c>
      <c r="H52" s="10" t="inlineStr">
        <is>
          <t>rewrite: 0.76, keep_or_improve: 0.13, merge_or_remove: 0.11</t>
        </is>
      </c>
      <c r="I52" s="10" t="inlineStr">
        <is>
          <t>Laya (fallback)</t>
        </is>
      </c>
    </row>
    <row r="53">
      <c r="A53" s="10" t="inlineStr">
        <is>
          <t>https://duckwolf.cn/wifi.html</t>
        </is>
      </c>
      <c r="B53" s="10" t="inlineStr">
        <is>
          <t>helpfulness</t>
        </is>
      </c>
      <c r="C53" s="10" t="inlineStr">
        <is>
          <t>score</t>
        </is>
      </c>
      <c r="D53" s="10" t="n">
        <v>0.476</v>
      </c>
      <c r="E53" s="14" t="n">
        <v>0.6874</v>
      </c>
      <c r="F53" s="14" t="n">
        <v>0.6874</v>
      </c>
      <c r="G53" s="10" t="inlineStr">
        <is>
          <t>review</t>
        </is>
      </c>
      <c r="H53" s="10" t="inlineStr">
        <is>
          <t>1: 0.66, 2: 0.17, 3: 0.15</t>
        </is>
      </c>
      <c r="I53" s="10" t="inlineStr">
        <is>
          <t>Laya (fallback)</t>
        </is>
      </c>
    </row>
    <row r="54">
      <c r="A54" s="10" t="inlineStr">
        <is>
          <t>https://duckwolf.cn/wifi.html</t>
        </is>
      </c>
      <c r="B54" s="10" t="inlineStr">
        <is>
          <t>specificity</t>
        </is>
      </c>
      <c r="C54" s="10" t="inlineStr">
        <is>
          <t>score</t>
        </is>
      </c>
      <c r="D54" s="10" t="n">
        <v>0.461</v>
      </c>
      <c r="E54" s="14" t="n">
        <v>0.6519</v>
      </c>
      <c r="F54" s="14" t="n">
        <v>0.6519</v>
      </c>
      <c r="G54" s="10" t="inlineStr">
        <is>
          <t>review</t>
        </is>
      </c>
      <c r="H54" s="10" t="inlineStr">
        <is>
          <t>1: 0.65, 2: 0.31, 3: 0.04</t>
        </is>
      </c>
      <c r="I54" s="10" t="inlineStr">
        <is>
          <t>Laya (fallback)</t>
        </is>
      </c>
    </row>
    <row r="55">
      <c r="A55" s="10" t="inlineStr">
        <is>
          <t>https://duckwolf.cn/wifi.html</t>
        </is>
      </c>
      <c r="B55" s="10" t="inlineStr">
        <is>
          <t>answer_first</t>
        </is>
      </c>
      <c r="C55" s="10" t="inlineStr">
        <is>
          <t>noul</t>
        </is>
      </c>
      <c r="D55" s="10" t="n">
        <v>1</v>
      </c>
      <c r="E55" s="14" t="n">
        <v>0.9998</v>
      </c>
      <c r="F55" s="14" t="n"/>
      <c r="G55" s="10" t="inlineStr">
        <is>
          <t>yes</t>
        </is>
      </c>
      <c r="H55" s="10" t="inlineStr"/>
      <c r="I55" s="10" t="inlineStr">
        <is>
          <t>Laya (fallback)</t>
        </is>
      </c>
    </row>
    <row r="56">
      <c r="A56" s="10" t="inlineStr">
        <is>
          <t>https://duckwolf.cn/wifi.html</t>
        </is>
      </c>
      <c r="B56" s="10" t="inlineStr">
        <is>
          <t>citable</t>
        </is>
      </c>
      <c r="C56" s="10" t="inlineStr">
        <is>
          <t>score</t>
        </is>
      </c>
      <c r="D56" s="10" t="n">
        <v>0.493</v>
      </c>
      <c r="E56" s="14" t="n">
        <v>0.6591</v>
      </c>
      <c r="F56" s="14" t="n">
        <v>0.6591</v>
      </c>
      <c r="G56" s="10" t="inlineStr">
        <is>
          <t>review</t>
        </is>
      </c>
      <c r="H56" s="10" t="inlineStr">
        <is>
          <t>1: 0.66, 2: 0.20, 3: 0.14</t>
        </is>
      </c>
      <c r="I56" s="10" t="inlineStr">
        <is>
          <t>Laya (fallback)</t>
        </is>
      </c>
    </row>
    <row r="57">
      <c r="A57" s="10" t="inlineStr">
        <is>
          <t>https://duckwolf.cn/wifi.html</t>
        </is>
      </c>
      <c r="B57" s="10" t="inlineStr">
        <is>
          <t>trust</t>
        </is>
      </c>
      <c r="C57" s="10" t="inlineStr">
        <is>
          <t>score</t>
        </is>
      </c>
      <c r="D57" s="10" t="n">
        <v>0.399</v>
      </c>
      <c r="E57" s="14" t="n">
        <v>0.7548</v>
      </c>
      <c r="F57" s="14" t="n">
        <v>0.7548</v>
      </c>
      <c r="G57" s="10" t="inlineStr">
        <is>
          <t>review</t>
        </is>
      </c>
      <c r="H57" s="10" t="inlineStr">
        <is>
          <t>1: 0.67, 2: 0.21, 0: 0.08</t>
        </is>
      </c>
      <c r="I57" s="10" t="inlineStr">
        <is>
          <t>Laya (fallback)</t>
        </is>
      </c>
    </row>
    <row r="58">
      <c r="A58" s="10" t="inlineStr">
        <is>
          <t>https://duckwolf.cn/wifi.html</t>
        </is>
      </c>
      <c r="B58" s="10" t="inlineStr">
        <is>
          <t>clear_next_step</t>
        </is>
      </c>
      <c r="C58" s="10" t="inlineStr">
        <is>
          <t>noul</t>
        </is>
      </c>
      <c r="D58" s="10" t="n">
        <v>1</v>
      </c>
      <c r="E58" s="14" t="n">
        <v>0.9996</v>
      </c>
      <c r="F58" s="14" t="n"/>
      <c r="G58" s="10" t="inlineStr">
        <is>
          <t>yes</t>
        </is>
      </c>
      <c r="H58" s="10" t="inlineStr"/>
      <c r="I58" s="10" t="inlineStr">
        <is>
          <t>Laya (fallback)</t>
        </is>
      </c>
    </row>
    <row r="59">
      <c r="A59" s="10" t="inlineStr">
        <is>
          <t>https://duckwolf.cn/wifi.html</t>
        </is>
      </c>
      <c r="B59" s="10" t="inlineStr">
        <is>
          <t>title_fit</t>
        </is>
      </c>
      <c r="C59" s="10" t="inlineStr">
        <is>
          <t>score</t>
        </is>
      </c>
      <c r="D59" s="10" t="n">
        <v>0.507</v>
      </c>
      <c r="E59" s="14" t="n">
        <v>0.6365</v>
      </c>
      <c r="F59" s="14" t="n">
        <v>0.6365</v>
      </c>
      <c r="G59" s="10" t="inlineStr">
        <is>
          <t>review</t>
        </is>
      </c>
      <c r="H59" s="10" t="inlineStr">
        <is>
          <t>1: 0.59, 3: 0.20, 2: 0.16</t>
        </is>
      </c>
      <c r="I59" s="10" t="inlineStr">
        <is>
          <t>Laya (fallback)</t>
        </is>
      </c>
    </row>
    <row r="60">
      <c r="A60" s="10" t="inlineStr">
        <is>
          <t>https://duckwolf.cn/wifi.html</t>
        </is>
      </c>
      <c r="B60" s="10" t="inlineStr">
        <is>
          <t>h1_fit</t>
        </is>
      </c>
      <c r="C60" s="10" t="inlineStr">
        <is>
          <t>noul</t>
        </is>
      </c>
      <c r="D60" s="10" t="n">
        <v>1</v>
      </c>
      <c r="E60" s="14" t="n">
        <v>1</v>
      </c>
      <c r="F60" s="14" t="n"/>
      <c r="G60" s="10" t="inlineStr">
        <is>
          <t>yes</t>
        </is>
      </c>
      <c r="H60" s="10" t="inlineStr"/>
      <c r="I60" s="10" t="inlineStr">
        <is>
          <t>Laya (fallback)</t>
        </is>
      </c>
    </row>
    <row r="61">
      <c r="A61" s="10" t="inlineStr">
        <is>
          <t>(site)</t>
        </is>
      </c>
      <c r="B61" s="10" t="inlineStr">
        <is>
          <t>business_model</t>
        </is>
      </c>
      <c r="C61" s="10" t="inlineStr">
        <is>
          <t>choice</t>
        </is>
      </c>
      <c r="D61" s="10" t="inlineStr">
        <is>
          <t>personal_or_portfolio</t>
        </is>
      </c>
      <c r="E61" s="14" t="n">
        <v>0.8763810396194458</v>
      </c>
      <c r="F61" s="14" t="n"/>
      <c r="G61" s="10" t="inlineStr">
        <is>
          <t>act</t>
        </is>
      </c>
      <c r="H61" s="10" t="inlineStr">
        <is>
          <t>personal_or_portfolio: 0.88, other: 0.06, publisher_or_media: 0.04</t>
        </is>
      </c>
      <c r="I61" s="10" t="inlineStr">
        <is>
          <t>Jev cloud</t>
        </is>
      </c>
    </row>
    <row r="62">
      <c r="A62" s="10" t="inlineStr">
        <is>
          <t>(site)</t>
        </is>
      </c>
      <c r="B62" s="10" t="inlineStr">
        <is>
          <t>value_prop</t>
        </is>
      </c>
      <c r="C62" s="10" t="inlineStr">
        <is>
          <t>score</t>
        </is>
      </c>
      <c r="D62" s="10" t="n">
        <v>0.356</v>
      </c>
      <c r="E62" s="14" t="n">
        <v>0.9148308038711548</v>
      </c>
      <c r="F62" s="14" t="n">
        <v>0.9408</v>
      </c>
      <c r="G62" s="10" t="inlineStr">
        <is>
          <t>act</t>
        </is>
      </c>
      <c r="H62" s="10" t="inlineStr">
        <is>
          <t>1: 0.91, 3: 0.04, 0: 0.03</t>
        </is>
      </c>
      <c r="I62" s="10" t="inlineStr">
        <is>
          <t>Jev cloud</t>
        </is>
      </c>
    </row>
    <row r="63">
      <c r="A63" s="10" t="inlineStr">
        <is>
          <t>(site)</t>
        </is>
      </c>
      <c r="B63" s="10" t="inlineStr">
        <is>
          <t>entity_clarity</t>
        </is>
      </c>
      <c r="C63" s="10" t="inlineStr">
        <is>
          <t>noul</t>
        </is>
      </c>
      <c r="D63" s="10" t="n">
        <v>0.569</v>
      </c>
      <c r="E63" s="14" t="n"/>
      <c r="F63" s="14" t="n"/>
      <c r="G63" s="10" t="inlineStr">
        <is>
          <t>review</t>
        </is>
      </c>
      <c r="H63" s="10" t="inlineStr"/>
      <c r="I63" s="10" t="inlineStr">
        <is>
          <t>Jev cloud</t>
        </is>
      </c>
    </row>
    <row r="64">
      <c r="A64" s="10" t="inlineStr">
        <is>
          <t>(site)</t>
        </is>
      </c>
      <c r="B64" s="10" t="inlineStr">
        <is>
          <t>topical_focus</t>
        </is>
      </c>
      <c r="C64" s="10" t="inlineStr">
        <is>
          <t>score</t>
        </is>
      </c>
      <c r="D64" s="10" t="n">
        <v>0.419</v>
      </c>
      <c r="E64" s="14" t="n">
        <v>0.5726115703582764</v>
      </c>
      <c r="F64" s="14" t="n">
        <v>0.6756</v>
      </c>
      <c r="G64" s="10" t="inlineStr">
        <is>
          <t>review</t>
        </is>
      </c>
      <c r="H64" s="10" t="inlineStr">
        <is>
          <t>1: 0.57, 2: 0.29, 0: 0.10</t>
        </is>
      </c>
      <c r="I64" s="10" t="inlineStr">
        <is>
          <t>Jev cloud</t>
        </is>
      </c>
    </row>
    <row r="65">
      <c r="A65" s="10" t="inlineStr">
        <is>
          <t>(site)</t>
        </is>
      </c>
      <c r="B65" s="10" t="inlineStr">
        <is>
          <t>serves_local_area</t>
        </is>
      </c>
      <c r="C65" s="10" t="inlineStr">
        <is>
          <t>noul</t>
        </is>
      </c>
      <c r="D65" s="10" t="n">
        <v>0.5639999999999999</v>
      </c>
      <c r="E65" s="14" t="n"/>
      <c r="F65" s="14" t="n"/>
      <c r="G65" s="10" t="inlineStr">
        <is>
          <t>review</t>
        </is>
      </c>
      <c r="H65" s="10" t="inlineStr"/>
      <c r="I65" s="10" t="inlineStr">
        <is>
          <t>Jev cloud</t>
        </is>
      </c>
    </row>
  </sheetData>
  <autoFilter ref="A1:I65"/>
  <conditionalFormatting sqref="G2:G65">
    <cfRule type="cellIs" priority="1" operator="equal" dxfId="1">
      <formula>"review"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3C2B7"/>
    <outlinePr summaryBelow="1" summaryRight="1"/>
    <pageSetUpPr/>
  </sheetPr>
  <dimension ref="A1:B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0" customWidth="1" min="2" max="2"/>
  </cols>
  <sheetData>
    <row r="1" ht="30" customHeight="1">
      <c r="A1" s="9" t="inlineStr">
        <is>
          <t>检查项</t>
        </is>
      </c>
      <c r="B1" s="9" t="inlineStr">
        <is>
          <t>数值</t>
        </is>
      </c>
    </row>
    <row r="2">
      <c r="A2" s="10" t="inlineStr">
        <is>
          <t>Final homepage URL</t>
        </is>
      </c>
      <c r="B2" s="10" t="inlineStr">
        <is>
          <t>https://duckwolf.cn/</t>
        </is>
      </c>
    </row>
    <row r="3">
      <c r="A3" s="10" t="inlineStr">
        <is>
          <t>HTTPS</t>
        </is>
      </c>
      <c r="B3" s="10" t="inlineStr">
        <is>
          <t>yes</t>
        </is>
      </c>
    </row>
    <row r="4">
      <c r="A4" s="10" t="inlineStr">
        <is>
          <t>HTTP redirects to HTTPS</t>
        </is>
      </c>
      <c r="B4" s="10" t="inlineStr">
        <is>
          <t>yes</t>
        </is>
      </c>
    </row>
    <row r="5">
      <c r="A5" s="10" t="inlineStr">
        <is>
          <t>Alternate host</t>
        </is>
      </c>
      <c r="B5" s="10" t="inlineStr">
        <is>
          <t>www.duckwolf.cn -&gt; status None, redirects to preferred: False</t>
        </is>
      </c>
    </row>
    <row r="6">
      <c r="A6" s="10" t="inlineStr">
        <is>
          <t>Nonexistent URL status</t>
        </is>
      </c>
      <c r="B6" s="10" t="n">
        <v>404</v>
      </c>
    </row>
    <row r="7">
      <c r="A7" s="10" t="inlineStr">
        <is>
          <t>robots.txt</t>
        </is>
      </c>
      <c r="B7" s="10" t="inlineStr">
        <is>
          <t>present</t>
        </is>
      </c>
    </row>
    <row r="8">
      <c r="A8" s="10" t="inlineStr">
        <is>
          <t>Sitemaps declared</t>
        </is>
      </c>
      <c r="B8" s="10" t="inlineStr">
        <is>
          <t>http://duckwolf.cn/sitemap.xml</t>
        </is>
      </c>
    </row>
    <row r="9">
      <c r="A9" s="10" t="inlineStr">
        <is>
          <t>Sitemap URLs</t>
        </is>
      </c>
      <c r="B9" s="10" t="n">
        <v>224</v>
      </c>
    </row>
    <row r="10">
      <c r="A10" s="10" t="inlineStr">
        <is>
          <t>llms.txt</t>
        </is>
      </c>
      <c r="B10" s="10" t="inlineStr">
        <is>
          <t>present</t>
        </is>
      </c>
    </row>
    <row r="11">
      <c r="A11" s="10" t="inlineStr">
        <is>
          <t>Render mode</t>
        </is>
      </c>
      <c r="B11" s="10" t="inlineStr">
        <is>
          <t>auto</t>
        </is>
      </c>
    </row>
    <row r="12">
      <c r="A12" s="10" t="inlineStr">
        <is>
          <t>Requests made</t>
        </is>
      </c>
      <c r="B12" s="10" t="n">
        <v>150</v>
      </c>
    </row>
    <row r="13">
      <c r="A13" s="10" t="inlineStr">
        <is>
          <t>Page cap reached</t>
        </is>
      </c>
      <c r="B13" s="10" t="inlineStr">
        <is>
          <t>yes</t>
        </is>
      </c>
    </row>
    <row r="14">
      <c r="A14" s="10" t="inlineStr">
        <is>
          <t>Search bot: Googlebot</t>
        </is>
      </c>
      <c r="B14" s="10" t="inlineStr">
        <is>
          <t>allowed</t>
        </is>
      </c>
    </row>
    <row r="15">
      <c r="A15" s="10" t="inlineStr">
        <is>
          <t>Search bot: Bingbot</t>
        </is>
      </c>
      <c r="B15" s="10" t="inlineStr">
        <is>
          <t>allowed</t>
        </is>
      </c>
    </row>
    <row r="16">
      <c r="A16" s="10" t="inlineStr">
        <is>
          <t>AI bot: GPTBot</t>
        </is>
      </c>
      <c r="B16" s="10" t="inlineStr">
        <is>
          <t>allowed</t>
        </is>
      </c>
    </row>
    <row r="17">
      <c r="A17" s="10" t="inlineStr">
        <is>
          <t>AI bot: OAI-SearchBot</t>
        </is>
      </c>
      <c r="B17" s="10" t="inlineStr">
        <is>
          <t>allowed</t>
        </is>
      </c>
    </row>
    <row r="18">
      <c r="A18" s="10" t="inlineStr">
        <is>
          <t>AI bot: ChatGPT-User</t>
        </is>
      </c>
      <c r="B18" s="10" t="inlineStr">
        <is>
          <t>allowed</t>
        </is>
      </c>
    </row>
    <row r="19">
      <c r="A19" s="10" t="inlineStr">
        <is>
          <t>AI bot: ClaudeBot</t>
        </is>
      </c>
      <c r="B19" s="10" t="inlineStr">
        <is>
          <t>allowed</t>
        </is>
      </c>
    </row>
    <row r="20">
      <c r="A20" s="10" t="inlineStr">
        <is>
          <t>AI bot: Claude-SearchBot</t>
        </is>
      </c>
      <c r="B20" s="10" t="inlineStr">
        <is>
          <t>allowed</t>
        </is>
      </c>
    </row>
    <row r="21">
      <c r="A21" s="10" t="inlineStr">
        <is>
          <t>AI bot: PerplexityBot</t>
        </is>
      </c>
      <c r="B21" s="10" t="inlineStr">
        <is>
          <t>allowed</t>
        </is>
      </c>
    </row>
    <row r="22">
      <c r="A22" s="10" t="inlineStr">
        <is>
          <t>AI bot: Google-Extended</t>
        </is>
      </c>
      <c r="B22" s="10" t="inlineStr">
        <is>
          <t>allowed</t>
        </is>
      </c>
    </row>
    <row r="23">
      <c r="A23" s="10" t="inlineStr">
        <is>
          <t>AI bot: Applebot-Extended</t>
        </is>
      </c>
      <c r="B23" s="10" t="inlineStr">
        <is>
          <t>allowed</t>
        </is>
      </c>
    </row>
    <row r="24">
      <c r="A24" s="10" t="inlineStr">
        <is>
          <t>AI bot: CCBot</t>
        </is>
      </c>
      <c r="B24" s="10" t="inlineStr">
        <is>
          <t>allowed</t>
        </is>
      </c>
    </row>
    <row r="25">
      <c r="A25" s="10" t="inlineStr">
        <is>
          <t>AI bot: Bytespider</t>
        </is>
      </c>
      <c r="B25" s="10" t="inlineStr">
        <is>
          <t>allowed</t>
        </is>
      </c>
    </row>
  </sheetData>
  <autoFilter ref="A1:B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3C2B7"/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12" customWidth="1" min="4" max="4"/>
    <col width="12" customWidth="1" min="5" max="5"/>
    <col width="8" customWidth="1" min="6" max="6"/>
    <col width="11" customWidth="1" min="7" max="7"/>
    <col width="11" customWidth="1" min="8" max="8"/>
    <col width="9" customWidth="1" min="9" max="9"/>
    <col width="16" customWidth="1" min="10" max="10"/>
    <col width="16" customWidth="1" min="11" max="11"/>
    <col width="16" customWidth="1" min="12" max="12"/>
    <col width="12" customWidth="1" min="13" max="13"/>
  </cols>
  <sheetData>
    <row r="1" ht="30" customHeight="1">
      <c r="A1" s="9" t="inlineStr">
        <is>
          <t>URL</t>
        </is>
      </c>
      <c r="B1" s="9" t="inlineStr">
        <is>
          <t>设备</t>
        </is>
      </c>
      <c r="C1" s="9" t="inlineStr">
        <is>
          <t>性能</t>
        </is>
      </c>
      <c r="D1" s="9" t="inlineStr">
        <is>
          <t>无障碍</t>
        </is>
      </c>
      <c r="E1" s="9" t="inlineStr">
        <is>
          <t>最佳实践</t>
        </is>
      </c>
      <c r="F1" s="9" t="inlineStr">
        <is>
          <t>SEO</t>
        </is>
      </c>
      <c r="G1" s="9" t="inlineStr">
        <is>
          <t>LCP p75 ms</t>
        </is>
      </c>
      <c r="H1" s="9" t="inlineStr">
        <is>
          <t>INP p75 ms</t>
        </is>
      </c>
      <c r="I1" s="9" t="inlineStr">
        <is>
          <t>CLS p75</t>
        </is>
      </c>
      <c r="J1" s="9" t="inlineStr">
        <is>
          <t>LCP rating</t>
        </is>
      </c>
      <c r="K1" s="9" t="inlineStr">
        <is>
          <t>INP rating</t>
        </is>
      </c>
      <c r="L1" s="9" t="inlineStr">
        <is>
          <t>CLS rating</t>
        </is>
      </c>
      <c r="M1" s="9" t="inlineStr">
        <is>
          <t>真实数据级别</t>
        </is>
      </c>
    </row>
    <row r="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3C2B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3C2B7"/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30" customHeight="1">
      <c r="A1" s="9" t="inlineStr">
        <is>
          <t>主题</t>
        </is>
      </c>
      <c r="B1" s="9" t="inlineStr">
        <is>
          <t>明细</t>
        </is>
      </c>
    </row>
    <row r="2">
      <c r="A2" s="10" t="inlineStr">
        <is>
          <t>Pipeline</t>
        </is>
      </c>
      <c r="B2" s="10" t="inlineStr">
        <is>
          <t>Crawl (code) -&gt; rules (code) -&gt; Jev typed judgments -&gt; PageSpeed Insights -&gt; scoring and ranking (code) -&gt; narrative (lead agent).</t>
        </is>
      </c>
    </row>
    <row r="3">
      <c r="A3" s="10" t="inlineStr">
        <is>
          <t>Area score</t>
        </is>
      </c>
      <c r="B3" s="10" t="inlineStr">
        <is>
          <t>100 minus, per finding, severity amount (critical 25, high 12, medium 6, low 2) x (0.5 + 0.5 x share of pages affected). Content and AI readiness blend 70% Jev judgment and 30% rules; performance blends 50% Lighthouse mobile and 50% crawl observations.</t>
        </is>
      </c>
    </row>
    <row r="4">
      <c r="A4" s="10" t="inlineStr">
        <is>
          <t>Overall</t>
        </is>
      </c>
      <c r="B4" s="10" t="inlineStr">
        <is>
          <t>Weighted mean of scored areas; unscored areas excluded, never zero. Blocked site capped at 20; no reliable HTTPS capped at 60.</t>
        </is>
      </c>
    </row>
    <row r="5">
      <c r="A5" s="10" t="inlineStr">
        <is>
          <t>Impact</t>
        </is>
      </c>
      <c r="B5" s="10" t="inlineStr">
        <is>
          <t>Severity weight (10/6/3/1) x (0.6 + 0.4 x reach) x (0.6 + 0.8 x max Jev importance of affected pages), scaled to 100.</t>
        </is>
      </c>
    </row>
    <row r="6">
      <c r="A6" s="10" t="inlineStr">
        <is>
          <t>Jev bands</t>
        </is>
      </c>
      <c r="B6" s="10" t="inlineStr">
        <is>
          <t>Choice and Score decisive at confidence &gt;= 0.80; Noul decisive at P(yes) &gt;= 0.80 or &lt;= 0.20; everything else needs a human check.</t>
        </is>
      </c>
    </row>
    <row r="7">
      <c r="A7" s="10" t="inlineStr">
        <is>
          <t>Jev ledger</t>
        </is>
      </c>
      <c r="B7" s="10" t="inlineStr">
        <is>
          <t>{'cascade': 'laya-first', 'laya_available': True, 'laya_reason': None, 'jev_available': True, 'laya_pages': 0, 'jev_pages': 5, 'laya_calls': 5, 'jev_calls': 6, 'laya_ms': 7569, 'laya_skipped_error': 0, 'promoted': 5, 'accepted_by_laya': 0, 'thresholds': {'laya_q_accept': 0.95, 'laya_page_accept': 0.8, 'jev_act': 0.8}, 'laya_device': 'cuda', 'laya_load_ms': 38950.8, 'laya_q_excluded': 9, 'laya_fallback_pages': 3, 'cost_usd': 0.005397, 'usd_per_mtok': 0.042, 'jev_api': {'model_requested': 'bocha-jev-v1', 'model_returned': 'bocha-jev-v1', 'requests': 15, 'failed': 4, 'input_tokens': 128511, 'output_tokens': 0, 'est_reserved_tokens': 0, 'skipped_budget': 0, 'errors': ['RuntimeError: HTTP 422: {"detail":{"code":"token_budget_exceeded","budget":"expanded_input_tokens","counted_tokens":34041,"limit_tokens":32768,"count_complete":false,"message":"expanded_input_to', 'RuntimeError: HTTP 422: {"detail":{"code":"token_budget_exceeded","budget":"expanded_input_tokens","counted_tokens":33644,"limit_tokens":32768,"count_complete":false,"message":"expanded_input_to', 'RuntimeError: HTTP 422: {"detail":{"code":"token_budget_exceeded","budget":"expanded_input_tokens","counted_tokens":33933,"limit_tokens":32768,"count_complete":false,"message":"expanded_input_to', 'RuntimeError: HTTP 422: {"detail":{"code":"token_budget_exceeded","budget":"expanded_input_tokens","counted_tokens":33517,"limit_tokens":32768,"count_complete":false,"message":"expanded_input_to'], 'batches': 15, 'budget_retries': 4}, 'jev_max_questions_per_request': 2}</t>
        </is>
      </c>
    </row>
    <row r="8">
      <c r="A8" s="10" t="inlineStr">
        <is>
          <t>DataForSEO</t>
        </is>
      </c>
      <c r="B8" s="10" t="inlineStr">
        <is>
          <t>Not used (run with --full)</t>
        </is>
      </c>
    </row>
    <row r="9">
      <c r="A9" s="10" t="inlineStr">
        <is>
          <t>Status authority</t>
        </is>
      </c>
      <c r="B9" s="10" t="inlineStr">
        <is>
          <t>The Actions sheet Status column is the only editable status. Summary counts update from it. PDF and Markdown are dated snapshots.</t>
        </is>
      </c>
    </row>
    <row r="10">
      <c r="A10" s="10" t="inlineStr">
        <is>
          <t>Limits</t>
        </is>
      </c>
      <c r="B10" s="10" t="inlineStr">
        <is>
          <t>No Search Console, analytics, backlink or keyword volume data. Scores are an internal rubric, not ranking or traffic predictions. Jev answers are model judgments, not measurements.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2026-10-04T16:32:50Z</dcterms:created>
  <dcterms:modified xmlns:dcterms="http://purl.org/dc/terms/" xmlns:xsi="http://www.w3.org/2001/XMLSchema-instance" xsi:type="dcterms:W3CDTF">2026-10-04T16:32:50Z</dcterms:modified>
</cp:coreProperties>
</file>